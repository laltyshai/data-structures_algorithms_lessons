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bambook/offTop/Data_analytics/"/>
    </mc:Choice>
  </mc:AlternateContent>
  <xr:revisionPtr revIDLastSave="0" documentId="13_ncr:1_{0C294B40-F9D8-2B4B-BA85-1472B95D6C53}" xr6:coauthVersionLast="47" xr6:coauthVersionMax="47" xr10:uidLastSave="{00000000-0000-0000-0000-000000000000}"/>
  <bookViews>
    <workbookView xWindow="0" yWindow="780" windowWidth="34200" windowHeight="21460" xr2:uid="{550FC0EE-6C08-C446-B890-EA0D6560BA48}"/>
  </bookViews>
  <sheets>
    <sheet name="Cleaning (removed dbl)" sheetId="5" r:id="rId1"/>
    <sheet name="Cleaning" sheetId="1" r:id="rId2"/>
    <sheet name="PivotDemo" sheetId="2" r:id="rId3"/>
    <sheet name="Bonus (2)" sheetId="8" r:id="rId4"/>
    <sheet name="Bonus" sheetId="7" r:id="rId5"/>
    <sheet name="CF_demo" sheetId="6" r:id="rId6"/>
    <sheet name="Orders" sheetId="3" r:id="rId7"/>
    <sheet name="Products" sheetId="4" r:id="rId8"/>
  </sheets>
  <definedNames>
    <definedName name="Slicer_cleanCountry">#N/A</definedName>
    <definedName name="Slicer_cleanProfuct">#N/A</definedName>
    <definedName name="Slicer_Month">#N/A</definedName>
    <definedName name="Slicer_Region">#N/A</definedName>
    <definedName name="Slicer_Revenue">#N/A</definedName>
  </definedNames>
  <calcPr calcId="191029"/>
  <pivotCaches>
    <pivotCache cacheId="22" r:id="rId9"/>
    <pivotCache cacheId="2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3" i="5"/>
  <c r="D2" i="3"/>
  <c r="G2" i="8"/>
  <c r="F3" i="5"/>
  <c r="F4" i="5"/>
  <c r="F5" i="5"/>
  <c r="F6" i="5"/>
  <c r="F7" i="5"/>
  <c r="F8" i="5"/>
  <c r="F9" i="5"/>
  <c r="F10" i="5"/>
  <c r="F2" i="5"/>
  <c r="F3" i="8"/>
  <c r="F4" i="8"/>
  <c r="F5" i="8"/>
  <c r="F6" i="8"/>
  <c r="F7" i="8"/>
  <c r="F8" i="8"/>
  <c r="F9" i="8"/>
  <c r="F10" i="8"/>
  <c r="F2" i="8"/>
  <c r="H10" i="8"/>
  <c r="G10" i="8"/>
  <c r="A10" i="8"/>
  <c r="H9" i="8"/>
  <c r="G9" i="8"/>
  <c r="A9" i="8"/>
  <c r="H8" i="8"/>
  <c r="G8" i="8"/>
  <c r="A8" i="8"/>
  <c r="H7" i="8"/>
  <c r="G7" i="8"/>
  <c r="A7" i="8"/>
  <c r="H6" i="8"/>
  <c r="G6" i="8"/>
  <c r="A6" i="8"/>
  <c r="H5" i="8"/>
  <c r="G5" i="8"/>
  <c r="A5" i="8"/>
  <c r="H4" i="8"/>
  <c r="G4" i="8"/>
  <c r="A4" i="8"/>
  <c r="H3" i="8"/>
  <c r="G3" i="8"/>
  <c r="A3" i="8"/>
  <c r="H2" i="8"/>
  <c r="A2" i="8"/>
  <c r="A8" i="7"/>
  <c r="G8" i="7"/>
  <c r="H8" i="7"/>
  <c r="A11" i="7"/>
  <c r="G11" i="7"/>
  <c r="H11" i="7"/>
  <c r="A12" i="7"/>
  <c r="G12" i="7"/>
  <c r="H12" i="7"/>
  <c r="A13" i="7"/>
  <c r="G13" i="7"/>
  <c r="H13" i="7"/>
  <c r="A15" i="7"/>
  <c r="G15" i="7"/>
  <c r="H15" i="7"/>
  <c r="A16" i="7"/>
  <c r="G16" i="7"/>
  <c r="H16" i="7"/>
  <c r="H3" i="7"/>
  <c r="H4" i="7"/>
  <c r="H5" i="7"/>
  <c r="H6" i="7"/>
  <c r="H7" i="7"/>
  <c r="H9" i="7"/>
  <c r="H10" i="7"/>
  <c r="H14" i="7"/>
  <c r="G3" i="7"/>
  <c r="G4" i="7"/>
  <c r="G5" i="7"/>
  <c r="G6" i="7"/>
  <c r="G7" i="7"/>
  <c r="G9" i="7"/>
  <c r="G10" i="7"/>
  <c r="G14" i="7"/>
  <c r="H2" i="7"/>
  <c r="G2" i="7"/>
  <c r="A3" i="7"/>
  <c r="A4" i="7"/>
  <c r="A5" i="7"/>
  <c r="A6" i="7"/>
  <c r="A7" i="7"/>
  <c r="A9" i="7"/>
  <c r="A10" i="7"/>
  <c r="A14" i="7"/>
  <c r="A2" i="7"/>
  <c r="E10" i="5"/>
  <c r="D10" i="5"/>
  <c r="E9" i="5"/>
  <c r="D9" i="5"/>
  <c r="E8" i="5"/>
  <c r="D8" i="5"/>
  <c r="E7" i="5"/>
  <c r="D7" i="5"/>
  <c r="E6" i="5"/>
  <c r="D6" i="5"/>
  <c r="E5" i="5"/>
  <c r="D5" i="5"/>
  <c r="E4" i="5"/>
  <c r="D4" i="5"/>
  <c r="E3" i="5"/>
  <c r="D3" i="5"/>
  <c r="E2" i="5"/>
  <c r="D2" i="5"/>
  <c r="E3" i="1"/>
  <c r="E4" i="1"/>
  <c r="E5" i="1"/>
  <c r="E6" i="1"/>
  <c r="E7" i="1"/>
  <c r="E8" i="1"/>
  <c r="E9" i="1"/>
  <c r="E10" i="1"/>
  <c r="E11" i="1"/>
  <c r="E12" i="1"/>
  <c r="E13" i="1"/>
  <c r="E2" i="1"/>
  <c r="D3" i="1"/>
  <c r="D4" i="1"/>
  <c r="D5" i="1"/>
  <c r="D6" i="1"/>
  <c r="D7" i="1"/>
  <c r="D8" i="1"/>
  <c r="D9" i="1"/>
  <c r="D10" i="1"/>
  <c r="D11" i="1"/>
  <c r="D12" i="1"/>
  <c r="D13" i="1"/>
  <c r="D2" i="1"/>
</calcChain>
</file>

<file path=xl/sharedStrings.xml><?xml version="1.0" encoding="utf-8"?>
<sst xmlns="http://schemas.openxmlformats.org/spreadsheetml/2006/main" count="291" uniqueCount="87">
  <si>
    <t>Region</t>
  </si>
  <si>
    <t>Product</t>
  </si>
  <si>
    <t>Sale</t>
  </si>
  <si>
    <t>North</t>
  </si>
  <si>
    <t xml:space="preserve">  West</t>
  </si>
  <si>
    <t>East</t>
  </si>
  <si>
    <t>South</t>
  </si>
  <si>
    <t>laptop</t>
  </si>
  <si>
    <t>Tablet</t>
  </si>
  <si>
    <t>DESKTOP</t>
  </si>
  <si>
    <t>Laptop</t>
  </si>
  <si>
    <t>Month</t>
  </si>
  <si>
    <t xml:space="preserve"> Sales</t>
  </si>
  <si>
    <t>Jan</t>
  </si>
  <si>
    <t>Feb</t>
  </si>
  <si>
    <t>Mar</t>
  </si>
  <si>
    <t>Desktop</t>
  </si>
  <si>
    <t>West</t>
  </si>
  <si>
    <t>OrderId</t>
  </si>
  <si>
    <t>ProductId</t>
  </si>
  <si>
    <t>Quantity</t>
  </si>
  <si>
    <t>p001</t>
  </si>
  <si>
    <t>p002</t>
  </si>
  <si>
    <t>p003</t>
  </si>
  <si>
    <t>p004</t>
  </si>
  <si>
    <t>ProductName</t>
  </si>
  <si>
    <t>Category</t>
  </si>
  <si>
    <t>Price</t>
  </si>
  <si>
    <t>Product_clean</t>
  </si>
  <si>
    <t>Region_Cleaning</t>
  </si>
  <si>
    <t xml:space="preserve">   tablet</t>
  </si>
  <si>
    <t xml:space="preserve">Laptop   </t>
  </si>
  <si>
    <t xml:space="preserve">   Deckstop</t>
  </si>
  <si>
    <t>Row Labels</t>
  </si>
  <si>
    <t>Grand Total</t>
  </si>
  <si>
    <t>Column Labels</t>
  </si>
  <si>
    <t>(blank)</t>
  </si>
  <si>
    <t>Sum of  Sales</t>
  </si>
  <si>
    <t>Revenue</t>
  </si>
  <si>
    <t>Growth %</t>
  </si>
  <si>
    <t>Apr</t>
  </si>
  <si>
    <t>May</t>
  </si>
  <si>
    <t>Jun</t>
  </si>
  <si>
    <t>OrderID</t>
  </si>
  <si>
    <t>Country</t>
  </si>
  <si>
    <t>product</t>
  </si>
  <si>
    <t>uantity</t>
  </si>
  <si>
    <t>UnitPrice</t>
  </si>
  <si>
    <t xml:space="preserve"> germany</t>
  </si>
  <si>
    <t>France</t>
  </si>
  <si>
    <t>Germany</t>
  </si>
  <si>
    <t>UK</t>
  </si>
  <si>
    <t>uk</t>
  </si>
  <si>
    <t xml:space="preserve"> Spain</t>
  </si>
  <si>
    <t>mug</t>
  </si>
  <si>
    <t>CANDLE</t>
  </si>
  <si>
    <t>Mug</t>
  </si>
  <si>
    <t>spain</t>
  </si>
  <si>
    <t>Spain</t>
  </si>
  <si>
    <t>lamp</t>
  </si>
  <si>
    <t>candle</t>
  </si>
  <si>
    <t>notebook</t>
  </si>
  <si>
    <t>Notebook</t>
  </si>
  <si>
    <t>MUG</t>
  </si>
  <si>
    <t>Candle</t>
  </si>
  <si>
    <t>3.50</t>
  </si>
  <si>
    <t>1.20</t>
  </si>
  <si>
    <t>5.00</t>
  </si>
  <si>
    <t>25.00</t>
  </si>
  <si>
    <t>cleanCountry</t>
  </si>
  <si>
    <t>cleanProfuct</t>
  </si>
  <si>
    <t>qantity</t>
  </si>
  <si>
    <t>Uk</t>
  </si>
  <si>
    <t>Lamp</t>
  </si>
  <si>
    <t>Sum of Revenue</t>
  </si>
  <si>
    <t>electronic</t>
  </si>
  <si>
    <t>furniture</t>
  </si>
  <si>
    <t>iohone10</t>
  </si>
  <si>
    <t>iohone11</t>
  </si>
  <si>
    <t>chair</t>
  </si>
  <si>
    <t>table</t>
  </si>
  <si>
    <t>ipad1</t>
  </si>
  <si>
    <t>sofa</t>
  </si>
  <si>
    <t>bed</t>
  </si>
  <si>
    <t>iphone7</t>
  </si>
  <si>
    <t>lower</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</si>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</sst>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Courier New"/>
      <family val="1"/>
    </font>
    <font>
      <sz val="8"/>
      <name val="Aptos Narrow"/>
      <family val="2"/>
      <scheme val="minor"/>
    </font>
    <font>
      <sz val="12"/>
      <color theme="1"/>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9" fontId="0" fillId="0" borderId="0" xfId="0" applyNumberFormat="1"/>
    <xf numFmtId="0" fontId="0" fillId="0" borderId="0" xfId="0" applyNumberFormat="1"/>
    <xf numFmtId="10" fontId="0" fillId="0" borderId="0" xfId="0" applyNumberFormat="1"/>
  </cellXfs>
  <cellStyles count="1">
    <cellStyle name="Normal" xfId="0" builtinId="0"/>
  </cellStyles>
  <dxfs count="18">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[LabWeek2.xlsx]PivotDemo!PivotTable1</c:name>
    <c:fmtId val="0"/>
  </c:pivotSource>
  <c:chart>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14260717410352E-2"/>
          <c:y val="7.407407407407407E-2"/>
          <c:w val="0.74249781277340332"/>
          <c:h val="0.84204505686789155"/>
        </c:manualLayout>
      </c:layout>
      <c:barChart>
        <c:barDir val="col"/>
        <c:grouping val="clustered"/>
        <c:varyColors val="0"/>
        <c:ser>
          <c:idx val="0"/>
          <c:order val="0"/>
          <c:tx>
            <c:strRef>
              <c:f>PivotDemo!$I$3:$I$4</c:f>
              <c:strCache>
                <c:ptCount val="1"/>
                <c:pt idx="0">
                  <c:v>Jan</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PivotDemo!$H$5:$H$9</c:f>
              <c:strCache>
                <c:ptCount val="4"/>
                <c:pt idx="0">
                  <c:v>East</c:v>
                </c:pt>
                <c:pt idx="1">
                  <c:v>North</c:v>
                </c:pt>
                <c:pt idx="2">
                  <c:v>South</c:v>
                </c:pt>
                <c:pt idx="3">
                  <c:v>West</c:v>
                </c:pt>
              </c:strCache>
            </c:strRef>
          </c:cat>
          <c:val>
            <c:numRef>
              <c:f>PivotDemo!$I$5:$I$9</c:f>
              <c:numCache>
                <c:formatCode>General</c:formatCode>
                <c:ptCount val="4"/>
                <c:pt idx="0">
                  <c:v>1700</c:v>
                </c:pt>
                <c:pt idx="1">
                  <c:v>2700</c:v>
                </c:pt>
                <c:pt idx="2">
                  <c:v>3100</c:v>
                </c:pt>
                <c:pt idx="3">
                  <c:v>3200</c:v>
                </c:pt>
              </c:numCache>
            </c:numRef>
          </c:val>
          <c:extLst>
            <c:ext xmlns:c16="http://schemas.microsoft.com/office/drawing/2014/chart" uri="{C3380CC4-5D6E-409C-BE32-E72D297353CC}">
              <c16:uniqueId val="{00000000-F98D-ED40-B732-972F357C477B}"/>
            </c:ext>
          </c:extLst>
        </c:ser>
        <c:ser>
          <c:idx val="1"/>
          <c:order val="1"/>
          <c:tx>
            <c:strRef>
              <c:f>PivotDemo!$J$3:$J$4</c:f>
              <c:strCache>
                <c:ptCount val="1"/>
                <c:pt idx="0">
                  <c:v>Feb</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PivotDemo!$H$5:$H$9</c:f>
              <c:strCache>
                <c:ptCount val="4"/>
                <c:pt idx="0">
                  <c:v>East</c:v>
                </c:pt>
                <c:pt idx="1">
                  <c:v>North</c:v>
                </c:pt>
                <c:pt idx="2">
                  <c:v>South</c:v>
                </c:pt>
                <c:pt idx="3">
                  <c:v>West</c:v>
                </c:pt>
              </c:strCache>
            </c:strRef>
          </c:cat>
          <c:val>
            <c:numRef>
              <c:f>PivotDemo!$J$5:$J$9</c:f>
              <c:numCache>
                <c:formatCode>General</c:formatCode>
                <c:ptCount val="4"/>
                <c:pt idx="0">
                  <c:v>1800</c:v>
                </c:pt>
                <c:pt idx="1">
                  <c:v>3000</c:v>
                </c:pt>
                <c:pt idx="2">
                  <c:v>3300</c:v>
                </c:pt>
                <c:pt idx="3">
                  <c:v>3350</c:v>
                </c:pt>
              </c:numCache>
            </c:numRef>
          </c:val>
          <c:extLst>
            <c:ext xmlns:c16="http://schemas.microsoft.com/office/drawing/2014/chart" uri="{C3380CC4-5D6E-409C-BE32-E72D297353CC}">
              <c16:uniqueId val="{00000002-6E7A-6A4E-A238-64DAA2D793D4}"/>
            </c:ext>
          </c:extLst>
        </c:ser>
        <c:ser>
          <c:idx val="2"/>
          <c:order val="2"/>
          <c:tx>
            <c:strRef>
              <c:f>PivotDemo!$K$3:$K$4</c:f>
              <c:strCache>
                <c:ptCount val="1"/>
                <c:pt idx="0">
                  <c:v>Mar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PivotDemo!$H$5:$H$9</c:f>
              <c:strCache>
                <c:ptCount val="4"/>
                <c:pt idx="0">
                  <c:v>East</c:v>
                </c:pt>
                <c:pt idx="1">
                  <c:v>North</c:v>
                </c:pt>
                <c:pt idx="2">
                  <c:v>South</c:v>
                </c:pt>
                <c:pt idx="3">
                  <c:v>West</c:v>
                </c:pt>
              </c:strCache>
            </c:strRef>
          </c:cat>
          <c:val>
            <c:numRef>
              <c:f>PivotDemo!$K$5:$K$9</c:f>
              <c:numCache>
                <c:formatCode>General</c:formatCode>
                <c:ptCount val="4"/>
                <c:pt idx="0">
                  <c:v>1000</c:v>
                </c:pt>
                <c:pt idx="1">
                  <c:v>2850</c:v>
                </c:pt>
                <c:pt idx="2">
                  <c:v>3050</c:v>
                </c:pt>
                <c:pt idx="3">
                  <c:v>3500</c:v>
                </c:pt>
              </c:numCache>
            </c:numRef>
          </c:val>
          <c:extLst>
            <c:ext xmlns:c16="http://schemas.microsoft.com/office/drawing/2014/chart" uri="{C3380CC4-5D6E-409C-BE32-E72D297353CC}">
              <c16:uniqueId val="{00000003-6E7A-6A4E-A238-64DAA2D793D4}"/>
            </c:ext>
          </c:extLst>
        </c:ser>
        <c:ser>
          <c:idx val="3"/>
          <c:order val="3"/>
          <c:tx>
            <c:strRef>
              <c:f>PivotDemo!$L$3:$L$4</c:f>
              <c:strCache>
                <c:ptCount val="1"/>
                <c:pt idx="0">
                  <c:v>(blank)</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PivotDemo!$H$5:$H$9</c:f>
              <c:strCache>
                <c:ptCount val="4"/>
                <c:pt idx="0">
                  <c:v>East</c:v>
                </c:pt>
                <c:pt idx="1">
                  <c:v>North</c:v>
                </c:pt>
                <c:pt idx="2">
                  <c:v>South</c:v>
                </c:pt>
                <c:pt idx="3">
                  <c:v>West</c:v>
                </c:pt>
              </c:strCache>
            </c:strRef>
          </c:cat>
          <c:val>
            <c:numRef>
              <c:f>PivotDemo!$L$5:$L$9</c:f>
              <c:numCache>
                <c:formatCode>General</c:formatCode>
                <c:ptCount val="4"/>
                <c:pt idx="0">
                  <c:v>900</c:v>
                </c:pt>
              </c:numCache>
            </c:numRef>
          </c:val>
          <c:extLst>
            <c:ext xmlns:c16="http://schemas.microsoft.com/office/drawing/2014/chart" uri="{C3380CC4-5D6E-409C-BE32-E72D297353CC}">
              <c16:uniqueId val="{00000005-6E7A-6A4E-A238-64DAA2D793D4}"/>
            </c:ext>
          </c:extLst>
        </c:ser>
        <c:dLbls>
          <c:dLblPos val="inEnd"/>
          <c:showLegendKey val="0"/>
          <c:showVal val="1"/>
          <c:showCatName val="0"/>
          <c:showSerName val="0"/>
          <c:showPercent val="0"/>
          <c:showBubbleSize val="0"/>
        </c:dLbls>
        <c:gapWidth val="80"/>
        <c:overlap val="25"/>
        <c:axId val="516937855"/>
        <c:axId val="516939647"/>
      </c:barChart>
      <c:catAx>
        <c:axId val="51693785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G"/>
          </a:p>
        </c:txPr>
        <c:crossAx val="516939647"/>
        <c:crosses val="autoZero"/>
        <c:auto val="1"/>
        <c:lblAlgn val="ctr"/>
        <c:lblOffset val="100"/>
        <c:noMultiLvlLbl val="0"/>
      </c:catAx>
      <c:valAx>
        <c:axId val="51693964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G"/>
          </a:p>
        </c:txPr>
        <c:crossAx val="51693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K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[LabWeek2.xlsx]PivotDemo!PivotTable1</c:name>
    <c:fmtId val="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0314960629918"/>
          <c:y val="7.407407407407407E-2"/>
          <c:w val="0.74249781277340332"/>
          <c:h val="0.84204505686789155"/>
        </c:manualLayout>
      </c:layout>
      <c:barChart>
        <c:barDir val="col"/>
        <c:grouping val="clustered"/>
        <c:varyColors val="0"/>
        <c:ser>
          <c:idx val="0"/>
          <c:order val="0"/>
          <c:tx>
            <c:strRef>
              <c:f>PivotDemo!$I$3:$I$4</c:f>
              <c:strCache>
                <c:ptCount val="1"/>
                <c:pt idx="0">
                  <c:v>Jan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PivotDemo!$H$5:$H$9</c:f>
              <c:strCache>
                <c:ptCount val="4"/>
                <c:pt idx="0">
                  <c:v>East</c:v>
                </c:pt>
                <c:pt idx="1">
                  <c:v>North</c:v>
                </c:pt>
                <c:pt idx="2">
                  <c:v>South</c:v>
                </c:pt>
                <c:pt idx="3">
                  <c:v>West</c:v>
                </c:pt>
              </c:strCache>
            </c:strRef>
          </c:cat>
          <c:val>
            <c:numRef>
              <c:f>PivotDemo!$I$5:$I$9</c:f>
              <c:numCache>
                <c:formatCode>General</c:formatCode>
                <c:ptCount val="4"/>
                <c:pt idx="0">
                  <c:v>1700</c:v>
                </c:pt>
                <c:pt idx="1">
                  <c:v>2700</c:v>
                </c:pt>
                <c:pt idx="2">
                  <c:v>3100</c:v>
                </c:pt>
                <c:pt idx="3">
                  <c:v>3200</c:v>
                </c:pt>
              </c:numCache>
            </c:numRef>
          </c:val>
          <c:extLst>
            <c:ext xmlns:c16="http://schemas.microsoft.com/office/drawing/2014/chart" uri="{C3380CC4-5D6E-409C-BE32-E72D297353CC}">
              <c16:uniqueId val="{00000000-4933-AB47-A3BC-CBF4117AB002}"/>
            </c:ext>
          </c:extLst>
        </c:ser>
        <c:ser>
          <c:idx val="1"/>
          <c:order val="1"/>
          <c:tx>
            <c:strRef>
              <c:f>PivotDemo!$J$3:$J$4</c:f>
              <c:strCache>
                <c:ptCount val="1"/>
                <c:pt idx="0">
                  <c:v>Feb</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PivotDemo!$H$5:$H$9</c:f>
              <c:strCache>
                <c:ptCount val="4"/>
                <c:pt idx="0">
                  <c:v>East</c:v>
                </c:pt>
                <c:pt idx="1">
                  <c:v>North</c:v>
                </c:pt>
                <c:pt idx="2">
                  <c:v>South</c:v>
                </c:pt>
                <c:pt idx="3">
                  <c:v>West</c:v>
                </c:pt>
              </c:strCache>
            </c:strRef>
          </c:cat>
          <c:val>
            <c:numRef>
              <c:f>PivotDemo!$J$5:$J$9</c:f>
              <c:numCache>
                <c:formatCode>General</c:formatCode>
                <c:ptCount val="4"/>
                <c:pt idx="0">
                  <c:v>1800</c:v>
                </c:pt>
                <c:pt idx="1">
                  <c:v>3000</c:v>
                </c:pt>
                <c:pt idx="2">
                  <c:v>3300</c:v>
                </c:pt>
                <c:pt idx="3">
                  <c:v>3350</c:v>
                </c:pt>
              </c:numCache>
            </c:numRef>
          </c:val>
          <c:extLst>
            <c:ext xmlns:c16="http://schemas.microsoft.com/office/drawing/2014/chart" uri="{C3380CC4-5D6E-409C-BE32-E72D297353CC}">
              <c16:uniqueId val="{00000005-4933-AB47-A3BC-CBF4117AB002}"/>
            </c:ext>
          </c:extLst>
        </c:ser>
        <c:ser>
          <c:idx val="2"/>
          <c:order val="2"/>
          <c:tx>
            <c:strRef>
              <c:f>PivotDemo!$K$3:$K$4</c:f>
              <c:strCache>
                <c:ptCount val="1"/>
                <c:pt idx="0">
                  <c:v>Mar</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PivotDemo!$H$5:$H$9</c:f>
              <c:strCache>
                <c:ptCount val="4"/>
                <c:pt idx="0">
                  <c:v>East</c:v>
                </c:pt>
                <c:pt idx="1">
                  <c:v>North</c:v>
                </c:pt>
                <c:pt idx="2">
                  <c:v>South</c:v>
                </c:pt>
                <c:pt idx="3">
                  <c:v>West</c:v>
                </c:pt>
              </c:strCache>
            </c:strRef>
          </c:cat>
          <c:val>
            <c:numRef>
              <c:f>PivotDemo!$K$5:$K$9</c:f>
              <c:numCache>
                <c:formatCode>General</c:formatCode>
                <c:ptCount val="4"/>
                <c:pt idx="0">
                  <c:v>1000</c:v>
                </c:pt>
                <c:pt idx="1">
                  <c:v>2850</c:v>
                </c:pt>
                <c:pt idx="2">
                  <c:v>3050</c:v>
                </c:pt>
                <c:pt idx="3">
                  <c:v>3500</c:v>
                </c:pt>
              </c:numCache>
            </c:numRef>
          </c:val>
          <c:extLst>
            <c:ext xmlns:c16="http://schemas.microsoft.com/office/drawing/2014/chart" uri="{C3380CC4-5D6E-409C-BE32-E72D297353CC}">
              <c16:uniqueId val="{00000006-4933-AB47-A3BC-CBF4117AB002}"/>
            </c:ext>
          </c:extLst>
        </c:ser>
        <c:ser>
          <c:idx val="3"/>
          <c:order val="3"/>
          <c:tx>
            <c:strRef>
              <c:f>PivotDemo!$L$3:$L$4</c:f>
              <c:strCache>
                <c:ptCount val="1"/>
                <c:pt idx="0">
                  <c:v>(blank)</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PivotDemo!$H$5:$H$9</c:f>
              <c:strCache>
                <c:ptCount val="4"/>
                <c:pt idx="0">
                  <c:v>East</c:v>
                </c:pt>
                <c:pt idx="1">
                  <c:v>North</c:v>
                </c:pt>
                <c:pt idx="2">
                  <c:v>South</c:v>
                </c:pt>
                <c:pt idx="3">
                  <c:v>West</c:v>
                </c:pt>
              </c:strCache>
            </c:strRef>
          </c:cat>
          <c:val>
            <c:numRef>
              <c:f>PivotDemo!$L$5:$L$9</c:f>
              <c:numCache>
                <c:formatCode>General</c:formatCode>
                <c:ptCount val="4"/>
                <c:pt idx="0">
                  <c:v>900</c:v>
                </c:pt>
              </c:numCache>
            </c:numRef>
          </c:val>
          <c:extLst>
            <c:ext xmlns:c16="http://schemas.microsoft.com/office/drawing/2014/chart" uri="{C3380CC4-5D6E-409C-BE32-E72D297353CC}">
              <c16:uniqueId val="{00000008-4933-AB47-A3BC-CBF4117AB002}"/>
            </c:ext>
          </c:extLst>
        </c:ser>
        <c:dLbls>
          <c:showLegendKey val="0"/>
          <c:showVal val="0"/>
          <c:showCatName val="0"/>
          <c:showSerName val="0"/>
          <c:showPercent val="0"/>
          <c:showBubbleSize val="0"/>
        </c:dLbls>
        <c:gapWidth val="315"/>
        <c:overlap val="-40"/>
        <c:axId val="219462527"/>
        <c:axId val="219452671"/>
      </c:barChart>
      <c:catAx>
        <c:axId val="2194625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G"/>
          </a:p>
        </c:txPr>
        <c:crossAx val="219452671"/>
        <c:crosses val="autoZero"/>
        <c:auto val="1"/>
        <c:lblAlgn val="ctr"/>
        <c:lblOffset val="100"/>
        <c:noMultiLvlLbl val="0"/>
      </c:catAx>
      <c:valAx>
        <c:axId val="219452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G"/>
          </a:p>
        </c:txPr>
        <c:crossAx val="21946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K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[LabWeek2.xlsx]Bonus (2)!PivotTable4</c:name>
    <c:fmtId val="0"/>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'Bonus (2)'!$K$2:$K$3</c:f>
              <c:strCache>
                <c:ptCount val="1"/>
                <c:pt idx="0">
                  <c:v>Candle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'Bonus (2)'!$J$4:$J$8</c:f>
              <c:strCache>
                <c:ptCount val="4"/>
                <c:pt idx="0">
                  <c:v>France</c:v>
                </c:pt>
                <c:pt idx="1">
                  <c:v>Germany</c:v>
                </c:pt>
                <c:pt idx="2">
                  <c:v>Spain</c:v>
                </c:pt>
                <c:pt idx="3">
                  <c:v>Uk</c:v>
                </c:pt>
              </c:strCache>
            </c:strRef>
          </c:cat>
          <c:val>
            <c:numRef>
              <c:f>'Bonus (2)'!$K$4:$K$8</c:f>
              <c:numCache>
                <c:formatCode>General</c:formatCode>
                <c:ptCount val="4"/>
                <c:pt idx="0">
                  <c:v>25</c:v>
                </c:pt>
              </c:numCache>
            </c:numRef>
          </c:val>
          <c:extLst>
            <c:ext xmlns:c16="http://schemas.microsoft.com/office/drawing/2014/chart" uri="{C3380CC4-5D6E-409C-BE32-E72D297353CC}">
              <c16:uniqueId val="{00000000-D89A-CF45-88D4-5E68E356353A}"/>
            </c:ext>
          </c:extLst>
        </c:ser>
        <c:ser>
          <c:idx val="1"/>
          <c:order val="1"/>
          <c:tx>
            <c:strRef>
              <c:f>'Bonus (2)'!$L$2:$L$3</c:f>
              <c:strCache>
                <c:ptCount val="1"/>
                <c:pt idx="0">
                  <c:v>Lamp</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'Bonus (2)'!$J$4:$J$8</c:f>
              <c:strCache>
                <c:ptCount val="4"/>
                <c:pt idx="0">
                  <c:v>France</c:v>
                </c:pt>
                <c:pt idx="1">
                  <c:v>Germany</c:v>
                </c:pt>
                <c:pt idx="2">
                  <c:v>Spain</c:v>
                </c:pt>
                <c:pt idx="3">
                  <c:v>Uk</c:v>
                </c:pt>
              </c:strCache>
            </c:strRef>
          </c:cat>
          <c:val>
            <c:numRef>
              <c:f>'Bonus (2)'!$L$4:$L$8</c:f>
              <c:numCache>
                <c:formatCode>General</c:formatCode>
                <c:ptCount val="4"/>
                <c:pt idx="2">
                  <c:v>75</c:v>
                </c:pt>
              </c:numCache>
            </c:numRef>
          </c:val>
          <c:extLst>
            <c:ext xmlns:c16="http://schemas.microsoft.com/office/drawing/2014/chart" uri="{C3380CC4-5D6E-409C-BE32-E72D297353CC}">
              <c16:uniqueId val="{00000001-04CC-844E-85A9-893EA6B64C02}"/>
            </c:ext>
          </c:extLst>
        </c:ser>
        <c:ser>
          <c:idx val="2"/>
          <c:order val="2"/>
          <c:tx>
            <c:strRef>
              <c:f>'Bonus (2)'!$M$2:$M$3</c:f>
              <c:strCache>
                <c:ptCount val="1"/>
                <c:pt idx="0">
                  <c:v>Mug</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'Bonus (2)'!$J$4:$J$8</c:f>
              <c:strCache>
                <c:ptCount val="4"/>
                <c:pt idx="0">
                  <c:v>France</c:v>
                </c:pt>
                <c:pt idx="1">
                  <c:v>Germany</c:v>
                </c:pt>
                <c:pt idx="2">
                  <c:v>Spain</c:v>
                </c:pt>
                <c:pt idx="3">
                  <c:v>Uk</c:v>
                </c:pt>
              </c:strCache>
            </c:strRef>
          </c:cat>
          <c:val>
            <c:numRef>
              <c:f>'Bonus (2)'!$M$4:$M$8</c:f>
              <c:numCache>
                <c:formatCode>General</c:formatCode>
                <c:ptCount val="4"/>
                <c:pt idx="1">
                  <c:v>28</c:v>
                </c:pt>
              </c:numCache>
            </c:numRef>
          </c:val>
          <c:extLst>
            <c:ext xmlns:c16="http://schemas.microsoft.com/office/drawing/2014/chart" uri="{C3380CC4-5D6E-409C-BE32-E72D297353CC}">
              <c16:uniqueId val="{00000002-04CC-844E-85A9-893EA6B64C02}"/>
            </c:ext>
          </c:extLst>
        </c:ser>
        <c:ser>
          <c:idx val="3"/>
          <c:order val="3"/>
          <c:tx>
            <c:strRef>
              <c:f>'Bonus (2)'!$N$2:$N$3</c:f>
              <c:strCache>
                <c:ptCount val="1"/>
                <c:pt idx="0">
                  <c:v>Notebook</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'Bonus (2)'!$J$4:$J$8</c:f>
              <c:strCache>
                <c:ptCount val="4"/>
                <c:pt idx="0">
                  <c:v>France</c:v>
                </c:pt>
                <c:pt idx="1">
                  <c:v>Germany</c:v>
                </c:pt>
                <c:pt idx="2">
                  <c:v>Spain</c:v>
                </c:pt>
                <c:pt idx="3">
                  <c:v>Uk</c:v>
                </c:pt>
              </c:strCache>
            </c:strRef>
          </c:cat>
          <c:val>
            <c:numRef>
              <c:f>'Bonus (2)'!$N$4:$N$8</c:f>
              <c:numCache>
                <c:formatCode>General</c:formatCode>
                <c:ptCount val="4"/>
                <c:pt idx="3">
                  <c:v>18</c:v>
                </c:pt>
              </c:numCache>
            </c:numRef>
          </c:val>
          <c:extLst>
            <c:ext xmlns:c16="http://schemas.microsoft.com/office/drawing/2014/chart" uri="{C3380CC4-5D6E-409C-BE32-E72D297353CC}">
              <c16:uniqueId val="{00000003-04CC-844E-85A9-893EA6B64C02}"/>
            </c:ext>
          </c:extLst>
        </c:ser>
        <c:dLbls>
          <c:showLegendKey val="0"/>
          <c:showVal val="0"/>
          <c:showCatName val="0"/>
          <c:showSerName val="0"/>
          <c:showPercent val="0"/>
          <c:showBubbleSize val="0"/>
        </c:dLbls>
        <c:gapWidth val="100"/>
        <c:overlap val="-24"/>
        <c:axId val="466712127"/>
        <c:axId val="466703615"/>
      </c:barChart>
      <c:catAx>
        <c:axId val="46671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G"/>
          </a:p>
        </c:txPr>
        <c:crossAx val="466703615"/>
        <c:crosses val="autoZero"/>
        <c:auto val="1"/>
        <c:lblAlgn val="ctr"/>
        <c:lblOffset val="100"/>
        <c:noMultiLvlLbl val="0"/>
      </c:catAx>
      <c:valAx>
        <c:axId val="46670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G"/>
          </a:p>
        </c:txPr>
        <c:crossAx val="46671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423333</xdr:colOff>
      <xdr:row>26</xdr:row>
      <xdr:rowOff>59267</xdr:rowOff>
    </xdr:from>
    <xdr:to>
      <xdr:col>6</xdr:col>
      <xdr:colOff>33866</xdr:colOff>
      <xdr:row>39</xdr:row>
      <xdr:rowOff>160867</xdr:rowOff>
    </xdr:to>
    <xdr:graphicFrame macro="">
      <xdr:nvGraphicFramePr>
        <xdr:cNvPr id="2" name="Chart 1">
          <a:extLst>
            <a:ext uri="{FF2B5EF4-FFF2-40B4-BE49-F238E27FC236}">
              <a16:creationId xmlns:a16="http://schemas.microsoft.com/office/drawing/2014/main" id="{8CBFF197-3606-C601-09A6-7CB8DDB62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296333</xdr:colOff>
      <xdr:row>0</xdr:row>
      <xdr:rowOff>173566</xdr:rowOff>
    </xdr:from>
    <xdr:to>
      <xdr:col>6</xdr:col>
      <xdr:colOff>465666</xdr:colOff>
      <xdr:row>13</xdr:row>
      <xdr:rowOff>151338</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678EDB6-35A5-7F49-3520-58833FFE48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98333" y="17356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808567</xdr:colOff>
      <xdr:row>14</xdr:row>
      <xdr:rowOff>122767</xdr:rowOff>
    </xdr:from>
    <xdr:to>
      <xdr:col>12</xdr:col>
      <xdr:colOff>29633</xdr:colOff>
      <xdr:row>28</xdr:row>
      <xdr:rowOff>21167</xdr:rowOff>
    </xdr:to>
    <xdr:graphicFrame macro="">
      <xdr:nvGraphicFramePr>
        <xdr:cNvPr id="5" name="Chart 4">
          <a:extLst>
            <a:ext uri="{FF2B5EF4-FFF2-40B4-BE49-F238E27FC236}">
              <a16:creationId xmlns:a16="http://schemas.microsoft.com/office/drawing/2014/main" id="{2F31EF30-3D8F-8026-AAF7-58574348F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359833</xdr:colOff>
      <xdr:row>1</xdr:row>
      <xdr:rowOff>50800</xdr:rowOff>
    </xdr:from>
    <xdr:to>
      <xdr:col>14</xdr:col>
      <xdr:colOff>1172633</xdr:colOff>
      <xdr:row>14</xdr:row>
      <xdr:rowOff>28572</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BFA31853-CF0A-1AC4-6C4C-080EF24C115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655300" y="254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679450</xdr:colOff>
      <xdr:row>9</xdr:row>
      <xdr:rowOff>196850</xdr:rowOff>
    </xdr:from>
    <xdr:to>
      <xdr:col>14</xdr:col>
      <xdr:colOff>628650</xdr:colOff>
      <xdr:row>23</xdr:row>
      <xdr:rowOff>95250</xdr:rowOff>
    </xdr:to>
    <xdr:graphicFrame macro="">
      <xdr:nvGraphicFramePr>
        <xdr:cNvPr id="2" name="Chart 1">
          <a:extLst>
            <a:ext uri="{FF2B5EF4-FFF2-40B4-BE49-F238E27FC236}">
              <a16:creationId xmlns:a16="http://schemas.microsoft.com/office/drawing/2014/main" id="{D63F0434-726A-DA71-F6CB-72D2121D4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407555</xdr:colOff>
      <xdr:row>11</xdr:row>
      <xdr:rowOff>38100</xdr:rowOff>
    </xdr:from>
    <xdr:to>
      <xdr:col>8</xdr:col>
      <xdr:colOff>581506</xdr:colOff>
      <xdr:row>24</xdr:row>
      <xdr:rowOff>30881</xdr:rowOff>
    </xdr:to>
    <mc:AlternateContent xmlns:mc="http://schemas.openxmlformats.org/markup-compatibility/2006">
      <mc:Choice xmlns:a14="http://schemas.microsoft.com/office/drawing/2010/main" Requires="a14">
        <xdr:graphicFrame macro="">
          <xdr:nvGraphicFramePr>
            <xdr:cNvPr id="3" name="Revenue">
              <a:extLst>
                <a:ext uri="{FF2B5EF4-FFF2-40B4-BE49-F238E27FC236}">
                  <a16:creationId xmlns:a16="http://schemas.microsoft.com/office/drawing/2014/main" id="{9E8C4DA4-2777-FA09-49AF-218AF9A31DAB}"/>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5372100" y="2260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582276</xdr:colOff>
      <xdr:row>12</xdr:row>
      <xdr:rowOff>145474</xdr:rowOff>
    </xdr:from>
    <xdr:to>
      <xdr:col>5</xdr:col>
      <xdr:colOff>756228</xdr:colOff>
      <xdr:row>25</xdr:row>
      <xdr:rowOff>138255</xdr:rowOff>
    </xdr:to>
    <mc:AlternateContent xmlns:mc="http://schemas.openxmlformats.org/markup-compatibility/2006">
      <mc:Choice xmlns:a14="http://schemas.microsoft.com/office/drawing/2010/main" Requires="a14">
        <xdr:graphicFrame macro="">
          <xdr:nvGraphicFramePr>
            <xdr:cNvPr id="4" name="cleanCountry">
              <a:extLst>
                <a:ext uri="{FF2B5EF4-FFF2-40B4-BE49-F238E27FC236}">
                  <a16:creationId xmlns:a16="http://schemas.microsoft.com/office/drawing/2014/main" id="{1F70A8FB-C7F0-419D-3C2D-70BB51D4BA21}"/>
                </a:ext>
              </a:extLst>
            </xdr:cNvPr>
            <xdr:cNvGraphicFramePr/>
          </xdr:nvGraphicFramePr>
          <xdr:xfrm>
            <a:off x="0" y="0"/>
            <a:ext cx="0" cy="0"/>
          </xdr:xfrm>
          <a:graphic>
            <a:graphicData uri="http://schemas.microsoft.com/office/drawing/2010/slicer">
              <sle:slicer xmlns:sle="http://schemas.microsoft.com/office/drawing/2010/slicer" name="cleanCountry"/>
            </a:graphicData>
          </a:graphic>
        </xdr:graphicFrame>
      </mc:Choice>
      <mc:Fallback>
        <xdr:sp macro="" textlink="">
          <xdr:nvSpPr>
            <xdr:cNvPr id="0" name=""/>
            <xdr:cNvSpPr>
              <a:spLocks noTextEdit="1"/>
            </xdr:cNvSpPr>
          </xdr:nvSpPr>
          <xdr:spPr>
            <a:xfrm>
              <a:off x="3064549" y="2570019"/>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150861</xdr:colOff>
      <xdr:row>14</xdr:row>
      <xdr:rowOff>195119</xdr:rowOff>
    </xdr:from>
    <xdr:to>
      <xdr:col>3</xdr:col>
      <xdr:colOff>324812</xdr:colOff>
      <xdr:row>27</xdr:row>
      <xdr:rowOff>187900</xdr:rowOff>
    </xdr:to>
    <mc:AlternateContent xmlns:mc="http://schemas.openxmlformats.org/markup-compatibility/2006">
      <mc:Choice xmlns:a14="http://schemas.microsoft.com/office/drawing/2010/main" Requires="a14">
        <xdr:graphicFrame macro="">
          <xdr:nvGraphicFramePr>
            <xdr:cNvPr id="5" name="cleanProfuct">
              <a:extLst>
                <a:ext uri="{FF2B5EF4-FFF2-40B4-BE49-F238E27FC236}">
                  <a16:creationId xmlns:a16="http://schemas.microsoft.com/office/drawing/2014/main" id="{80CBA5D2-3361-4C60-D085-11F0D29BA9E8}"/>
                </a:ext>
              </a:extLst>
            </xdr:cNvPr>
            <xdr:cNvGraphicFramePr/>
          </xdr:nvGraphicFramePr>
          <xdr:xfrm>
            <a:off x="0" y="0"/>
            <a:ext cx="0" cy="0"/>
          </xdr:xfrm>
          <a:graphic>
            <a:graphicData uri="http://schemas.microsoft.com/office/drawing/2010/slicer">
              <sle:slicer xmlns:sle="http://schemas.microsoft.com/office/drawing/2010/slicer" name="cleanProfuct"/>
            </a:graphicData>
          </a:graphic>
        </xdr:graphicFrame>
      </mc:Choice>
      <mc:Fallback>
        <xdr:sp macro="" textlink="">
          <xdr:nvSpPr>
            <xdr:cNvPr id="0" name=""/>
            <xdr:cNvSpPr>
              <a:spLocks noTextEdit="1"/>
            </xdr:cNvSpPr>
          </xdr:nvSpPr>
          <xdr:spPr>
            <a:xfrm>
              <a:off x="978285" y="302375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mBook" refreshedDate="46295.46989375" createdVersion="8" refreshedVersion="8" minRefreshableVersion="3" recordCount="24" xr:uid="{04078836-32A9-614C-AD3F-154ADBFB380D}">
  <cacheSource type="worksheet">
    <worksheetSource ref="A1:D25" sheet="PivotDemo"/>
  </cacheSource>
  <cacheFields count="4">
    <cacheField name="Region" numFmtId="0">
      <sharedItems count="4">
        <s v="North"/>
        <s v="South"/>
        <s v="East"/>
        <s v="West"/>
      </sharedItems>
    </cacheField>
    <cacheField name="Month" numFmtId="0">
      <sharedItems containsBlank="1" count="4">
        <s v="Jan"/>
        <s v="Feb"/>
        <s v="Mar"/>
        <m/>
      </sharedItems>
    </cacheField>
    <cacheField name="Product" numFmtId="0">
      <sharedItems count="2">
        <s v="Laptop"/>
        <s v="Desktop"/>
      </sharedItems>
    </cacheField>
    <cacheField name=" Sales" numFmtId="0">
      <sharedItems containsSemiMixedTypes="0" containsString="0" containsNumber="1" containsInteger="1" minValue="800" maxValue="2200"/>
    </cacheField>
  </cacheFields>
  <extLst>
    <ext xmlns:x14="http://schemas.microsoft.com/office/spreadsheetml/2009/9/main" uri="{725AE2AE-9491-48be-B2B4-4EB974FC3084}">
      <x14:pivotCacheDefinition pivotCacheId="8290083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mBook" refreshedDate="46295.500023726854" createdVersion="8" refreshedVersion="8" minRefreshableVersion="3" recordCount="9" xr:uid="{0847870D-F8EE-2F4C-B313-873D1D8629EE}">
  <cacheSource type="worksheet">
    <worksheetSource ref="F1:H10" sheet="Bonus (2)"/>
  </cacheSource>
  <cacheFields count="3">
    <cacheField name="Revenue" numFmtId="0">
      <sharedItems containsSemiMixedTypes="0" containsString="0" containsNumber="1" containsInteger="1" minValue="0" maxValue="50" count="8">
        <n v="14"/>
        <n v="10"/>
        <n v="25"/>
        <n v="15"/>
        <n v="12"/>
        <n v="0"/>
        <n v="6"/>
        <n v="50"/>
      </sharedItems>
    </cacheField>
    <cacheField name="cleanCountry" numFmtId="0">
      <sharedItems count="4">
        <s v="Germany"/>
        <s v="France"/>
        <s v="Spain"/>
        <s v="Uk"/>
      </sharedItems>
    </cacheField>
    <cacheField name="cleanProfuct" numFmtId="0">
      <sharedItems count="4">
        <s v="Mug"/>
        <s v="Candle"/>
        <s v="Lamp"/>
        <s v="Notebook"/>
      </sharedItems>
    </cacheField>
  </cacheFields>
  <extLst>
    <ext xmlns:x14="http://schemas.microsoft.com/office/spreadsheetml/2009/9/main" uri="{725AE2AE-9491-48be-B2B4-4EB974FC3084}">
      <x14:pivotCacheDefinition pivotCacheId="201016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1500"/>
  </r>
  <r>
    <x v="0"/>
    <x v="0"/>
    <x v="1"/>
    <n v="1200"/>
  </r>
  <r>
    <x v="0"/>
    <x v="1"/>
    <x v="0"/>
    <n v="1700"/>
  </r>
  <r>
    <x v="0"/>
    <x v="1"/>
    <x v="1"/>
    <n v="1300"/>
  </r>
  <r>
    <x v="0"/>
    <x v="2"/>
    <x v="0"/>
    <n v="1600"/>
  </r>
  <r>
    <x v="0"/>
    <x v="2"/>
    <x v="1"/>
    <n v="1250"/>
  </r>
  <r>
    <x v="1"/>
    <x v="0"/>
    <x v="0"/>
    <n v="2100"/>
  </r>
  <r>
    <x v="1"/>
    <x v="0"/>
    <x v="1"/>
    <n v="1000"/>
  </r>
  <r>
    <x v="1"/>
    <x v="1"/>
    <x v="0"/>
    <n v="2200"/>
  </r>
  <r>
    <x v="1"/>
    <x v="1"/>
    <x v="1"/>
    <n v="1100"/>
  </r>
  <r>
    <x v="1"/>
    <x v="2"/>
    <x v="0"/>
    <n v="2000"/>
  </r>
  <r>
    <x v="1"/>
    <x v="2"/>
    <x v="1"/>
    <n v="1050"/>
  </r>
  <r>
    <x v="2"/>
    <x v="0"/>
    <x v="0"/>
    <n v="900"/>
  </r>
  <r>
    <x v="2"/>
    <x v="0"/>
    <x v="1"/>
    <n v="800"/>
  </r>
  <r>
    <x v="2"/>
    <x v="1"/>
    <x v="0"/>
    <n v="950"/>
  </r>
  <r>
    <x v="2"/>
    <x v="1"/>
    <x v="1"/>
    <n v="850"/>
  </r>
  <r>
    <x v="2"/>
    <x v="2"/>
    <x v="0"/>
    <n v="1000"/>
  </r>
  <r>
    <x v="2"/>
    <x v="3"/>
    <x v="1"/>
    <n v="900"/>
  </r>
  <r>
    <x v="3"/>
    <x v="0"/>
    <x v="0"/>
    <n v="1800"/>
  </r>
  <r>
    <x v="3"/>
    <x v="0"/>
    <x v="1"/>
    <n v="1400"/>
  </r>
  <r>
    <x v="3"/>
    <x v="1"/>
    <x v="0"/>
    <n v="1900"/>
  </r>
  <r>
    <x v="3"/>
    <x v="1"/>
    <x v="1"/>
    <n v="1450"/>
  </r>
  <r>
    <x v="3"/>
    <x v="2"/>
    <x v="0"/>
    <n v="2000"/>
  </r>
  <r>
    <x v="3"/>
    <x v="2"/>
    <x v="1"/>
    <n v="1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r>
  <r>
    <x v="1"/>
    <x v="1"/>
    <x v="1"/>
  </r>
  <r>
    <x v="0"/>
    <x v="0"/>
    <x v="0"/>
  </r>
  <r>
    <x v="2"/>
    <x v="2"/>
    <x v="2"/>
  </r>
  <r>
    <x v="3"/>
    <x v="1"/>
    <x v="1"/>
  </r>
  <r>
    <x v="4"/>
    <x v="3"/>
    <x v="3"/>
  </r>
  <r>
    <x v="5"/>
    <x v="2"/>
    <x v="2"/>
  </r>
  <r>
    <x v="6"/>
    <x v="3"/>
    <x v="3"/>
  </r>
  <r>
    <x v="7"/>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3867D-ACF3-7247-B859-61FA76F65CB7}"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6:S20" firstHeaderRow="1" firstDataRow="2" firstDataCol="1"/>
  <pivotFields count="4">
    <pivotField showAll="0"/>
    <pivotField axis="axisCol" showAll="0">
      <items count="5">
        <item x="0"/>
        <item x="1"/>
        <item x="2"/>
        <item x="3"/>
        <item t="default"/>
      </items>
    </pivotField>
    <pivotField axis="axisRow" showAll="0">
      <items count="3">
        <item x="1"/>
        <item x="0"/>
        <item t="default"/>
      </items>
    </pivotField>
    <pivotField dataField="1" showAll="0"/>
  </pivotFields>
  <rowFields count="1">
    <field x="2"/>
  </rowFields>
  <rowItems count="3">
    <i>
      <x/>
    </i>
    <i>
      <x v="1"/>
    </i>
    <i t="grand">
      <x/>
    </i>
  </rowItems>
  <colFields count="1">
    <field x="1"/>
  </colFields>
  <colItems count="5">
    <i>
      <x/>
    </i>
    <i>
      <x v="1"/>
    </i>
    <i>
      <x v="2"/>
    </i>
    <i>
      <x v="3"/>
    </i>
    <i t="grand">
      <x/>
    </i>
  </colItems>
  <dataFields count="1">
    <dataField name="Count of  Sale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90D215-7DBA-A144-911F-BB94CD2B1083}"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M9" firstHeaderRow="1" firstDataRow="2" firstDataCol="1"/>
  <pivotFields count="4">
    <pivotField axis="axisRow" showAll="0">
      <items count="5">
        <item x="2"/>
        <item x="0"/>
        <item x="1"/>
        <item x="3"/>
        <item t="default"/>
      </items>
    </pivotField>
    <pivotField axis="axisCol" showAll="0">
      <items count="5">
        <item x="0"/>
        <item x="1"/>
        <item x="2"/>
        <item x="3"/>
        <item t="default"/>
      </items>
    </pivotField>
    <pivotField showAll="0"/>
    <pivotField dataField="1" showAll="0"/>
  </pivotFields>
  <rowFields count="1">
    <field x="0"/>
  </rowFields>
  <rowItems count="5">
    <i>
      <x/>
    </i>
    <i>
      <x v="1"/>
    </i>
    <i>
      <x v="2"/>
    </i>
    <i>
      <x v="3"/>
    </i>
    <i t="grand">
      <x/>
    </i>
  </rowItems>
  <colFields count="1">
    <field x="1"/>
  </colFields>
  <colItems count="5">
    <i>
      <x/>
    </i>
    <i>
      <x v="1"/>
    </i>
    <i>
      <x v="2"/>
    </i>
    <i>
      <x v="3"/>
    </i>
    <i t="grand">
      <x/>
    </i>
  </colItems>
  <dataFields count="1">
    <dataField name="Sum of  Sales" fld="3" baseField="0" baseItem="0"/>
  </dataFields>
  <conditionalFormats count="4">
    <conditionalFormat priority="5">
      <pivotAreas count="1">
        <pivotArea type="data" outline="0" collapsedLevelsAreSubtotals="1" fieldPosition="0">
          <references count="2">
            <reference field="4294967294" count="1" selected="0">
              <x v="0"/>
            </reference>
            <reference field="1" count="1" selected="0">
              <x v="0"/>
            </reference>
          </references>
        </pivotArea>
      </pivotAreas>
    </conditionalFormat>
    <conditionalFormat priority="4">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3">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2">
      <pivotAreas count="1">
        <pivotArea type="data" outline="0" collapsedLevelsAreSubtotals="1" fieldPosition="0">
          <references count="2">
            <reference field="4294967294" count="1" selected="0">
              <x v="0"/>
            </reference>
            <reference field="1" count="1" selected="0">
              <x v="3"/>
            </reference>
          </references>
        </pivotArea>
      </pivotAreas>
    </conditionalFormat>
  </conditional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C5005-5ED8-CA47-AE76-CEB6F5620F1D}"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O8" firstHeaderRow="1" firstDataRow="2" firstDataCol="1"/>
  <pivotFields count="3">
    <pivotField dataField="1" showAll="0">
      <items count="9">
        <item x="5"/>
        <item x="6"/>
        <item x="1"/>
        <item x="4"/>
        <item x="0"/>
        <item x="3"/>
        <item x="2"/>
        <item x="7"/>
        <item t="default"/>
      </items>
    </pivotField>
    <pivotField axis="axisRow" showAll="0">
      <items count="5">
        <item x="1"/>
        <item x="0"/>
        <item x="2"/>
        <item x="3"/>
        <item t="default"/>
      </items>
    </pivotField>
    <pivotField axis="axisCol" showAll="0">
      <items count="5">
        <item x="1"/>
        <item x="2"/>
        <item x="0"/>
        <item x="3"/>
        <item t="default"/>
      </items>
    </pivotField>
  </pivotFields>
  <rowFields count="1">
    <field x="1"/>
  </rowFields>
  <rowItems count="5">
    <i>
      <x/>
    </i>
    <i>
      <x v="1"/>
    </i>
    <i>
      <x v="2"/>
    </i>
    <i>
      <x v="3"/>
    </i>
    <i t="grand">
      <x/>
    </i>
  </rowItems>
  <colFields count="1">
    <field x="2"/>
  </colFields>
  <colItems count="5">
    <i>
      <x/>
    </i>
    <i>
      <x v="1"/>
    </i>
    <i>
      <x v="2"/>
    </i>
    <i>
      <x v="3"/>
    </i>
    <i t="grand">
      <x/>
    </i>
  </colItems>
  <dataFields count="1">
    <dataField name="Sum of Revenue" fld="0" baseField="0"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FFD769-07DE-5841-893A-65CFA14FAFA5}" sourceName="Region">
  <pivotTables>
    <pivotTable tabId="2" name="PivotTable1"/>
  </pivotTables>
  <data>
    <tabular pivotCacheId="82900832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21982CF-96A6-4341-A5DB-D800EC0F8CDA}" sourceName="Month">
  <pivotTables>
    <pivotTable tabId="2" name="PivotTable1"/>
  </pivotTables>
  <data>
    <tabular pivotCacheId="82900832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773DDBC9-B6B4-BB4D-A2BD-69D0D9459F5A}" sourceName="Revenue">
  <pivotTables>
    <pivotTable tabId="8" name="PivotTable4"/>
  </pivotTables>
  <data>
    <tabular pivotCacheId="201016731">
      <items count="8">
        <i x="5" s="1"/>
        <i x="6" s="1"/>
        <i x="1" s="1"/>
        <i x="4" s="1"/>
        <i x="0" s="1"/>
        <i x="3" s="1"/>
        <i x="2"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Country" xr10:uid="{EB97415A-2A55-B540-AAC4-AD7F7CD8014B}" sourceName="cleanCountry">
  <pivotTables>
    <pivotTable tabId="8" name="PivotTable4"/>
  </pivotTables>
  <data>
    <tabular pivotCacheId="201016731">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Profuct" xr10:uid="{34F5034E-3FEF-A24E-BB0C-3D654F5C3285}" sourceName="cleanProfuct">
  <pivotTables>
    <pivotTable tabId="8" name="PivotTable4"/>
  </pivotTables>
  <data>
    <tabular pivotCacheId="20101673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FE245C0-B6F8-E047-BB59-01ADCA7C2541}" cache="Slicer_Region" caption="Region" rowHeight="251883"/>
  <slicer name="Month" xr10:uid="{98CC9EA3-CB8C-B24F-A1CF-FB1FD189AFF5}" cache="Slicer_Month" caption="Month" rowHeight="251883"/>
  <slicer name="Month 1" xr10:uid="{C9BCEAF8-42C1-174E-AF37-CC82FDAD627C}"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xr10:uid="{8400EFFF-BA2A-C044-829E-F868F9A1155F}" cache="Slicer_Revenue" caption="Revenue" rowHeight="251883"/>
  <slicer name="cleanCountry" xr10:uid="{E65DEDB3-E800-FC49-92D3-1BAF9B093FD6}" cache="Slicer_cleanCountry" caption="cleanCountry" rowHeight="251883"/>
  <slicer name="cleanProfuct" xr10:uid="{6E7B9CC3-D8F4-8F4B-80E7-69A4375FE726}" cache="Slicer_cleanProfuct" caption="cleanProf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E616F-F8E6-E240-867E-43FFFAF8B80B}">
  <dimension ref="A1:F13"/>
  <sheetViews>
    <sheetView tabSelected="1" zoomScale="150" zoomScaleNormal="150" workbookViewId="0">
      <selection activeCell="D12" sqref="D12"/>
    </sheetView>
  </sheetViews>
  <sheetFormatPr baseColWidth="10" defaultRowHeight="16" x14ac:dyDescent="0.2"/>
  <cols>
    <col min="4" max="4" width="17.83203125" customWidth="1"/>
    <col min="5" max="5" width="31.83203125" customWidth="1"/>
  </cols>
  <sheetData>
    <row r="1" spans="1:6" x14ac:dyDescent="0.2">
      <c r="A1" t="s">
        <v>0</v>
      </c>
      <c r="B1" t="s">
        <v>1</v>
      </c>
      <c r="C1" t="s">
        <v>2</v>
      </c>
      <c r="D1" t="s">
        <v>29</v>
      </c>
      <c r="E1" t="s">
        <v>28</v>
      </c>
      <c r="F1" t="s">
        <v>85</v>
      </c>
    </row>
    <row r="2" spans="1:6" x14ac:dyDescent="0.2">
      <c r="A2" t="s">
        <v>3</v>
      </c>
      <c r="B2" t="s">
        <v>7</v>
      </c>
      <c r="C2">
        <v>1500</v>
      </c>
      <c r="D2" t="str">
        <f t="shared" ref="D2:D10" si="0">TRIM(A2)</f>
        <v>North</v>
      </c>
      <c r="E2" t="str">
        <f t="shared" ref="E2:E10" si="1">PROPER(TRIM(B2))</f>
        <v>Laptop</v>
      </c>
      <c r="F2" t="str">
        <f>LOWER(E2)</f>
        <v>laptop</v>
      </c>
    </row>
    <row r="3" spans="1:6" x14ac:dyDescent="0.2">
      <c r="A3" t="s">
        <v>4</v>
      </c>
      <c r="B3" t="s">
        <v>9</v>
      </c>
      <c r="C3">
        <v>1200</v>
      </c>
      <c r="D3" t="str">
        <f t="shared" si="0"/>
        <v>West</v>
      </c>
      <c r="E3" t="str">
        <f t="shared" si="1"/>
        <v>Desktop</v>
      </c>
      <c r="F3" t="str">
        <f t="shared" ref="F3:F10" si="2">LOWER(E3)</f>
        <v>desktop</v>
      </c>
    </row>
    <row r="4" spans="1:6" x14ac:dyDescent="0.2">
      <c r="A4" t="s">
        <v>5</v>
      </c>
      <c r="B4" t="s">
        <v>8</v>
      </c>
      <c r="C4">
        <v>0</v>
      </c>
      <c r="D4" t="str">
        <f t="shared" si="0"/>
        <v>East</v>
      </c>
      <c r="E4" t="str">
        <f t="shared" si="1"/>
        <v>Tablet</v>
      </c>
      <c r="F4" t="str">
        <f t="shared" si="2"/>
        <v>tablet</v>
      </c>
    </row>
    <row r="5" spans="1:6" x14ac:dyDescent="0.2">
      <c r="A5" t="s">
        <v>6</v>
      </c>
      <c r="B5" t="s">
        <v>7</v>
      </c>
      <c r="C5">
        <v>2100</v>
      </c>
      <c r="D5" t="str">
        <f t="shared" si="0"/>
        <v>South</v>
      </c>
      <c r="E5" t="str">
        <f t="shared" si="1"/>
        <v>Laptop</v>
      </c>
      <c r="F5" t="str">
        <f t="shared" si="2"/>
        <v>laptop</v>
      </c>
    </row>
    <row r="6" spans="1:6" x14ac:dyDescent="0.2">
      <c r="A6" t="s">
        <v>3</v>
      </c>
      <c r="B6" t="s">
        <v>32</v>
      </c>
      <c r="C6">
        <v>1150</v>
      </c>
      <c r="D6" t="str">
        <f t="shared" si="0"/>
        <v>North</v>
      </c>
      <c r="E6" t="str">
        <f t="shared" si="1"/>
        <v>Deckstop</v>
      </c>
      <c r="F6" t="str">
        <f t="shared" si="2"/>
        <v>deckstop</v>
      </c>
    </row>
    <row r="7" spans="1:6" x14ac:dyDescent="0.2">
      <c r="A7" t="s">
        <v>4</v>
      </c>
      <c r="B7" t="s">
        <v>31</v>
      </c>
      <c r="C7">
        <v>1800</v>
      </c>
      <c r="D7" t="str">
        <f t="shared" si="0"/>
        <v>West</v>
      </c>
      <c r="E7" t="str">
        <f t="shared" si="1"/>
        <v>Laptop</v>
      </c>
      <c r="F7" t="str">
        <f t="shared" si="2"/>
        <v>laptop</v>
      </c>
    </row>
    <row r="8" spans="1:6" x14ac:dyDescent="0.2">
      <c r="A8" t="s">
        <v>5</v>
      </c>
      <c r="B8" t="s">
        <v>30</v>
      </c>
      <c r="C8">
        <v>900</v>
      </c>
      <c r="D8" t="str">
        <f t="shared" si="0"/>
        <v>East</v>
      </c>
      <c r="E8" t="str">
        <f t="shared" si="1"/>
        <v>Tablet</v>
      </c>
      <c r="F8" t="str">
        <f t="shared" si="2"/>
        <v>tablet</v>
      </c>
    </row>
    <row r="9" spans="1:6" x14ac:dyDescent="0.2">
      <c r="A9" t="s">
        <v>6</v>
      </c>
      <c r="B9" t="s">
        <v>9</v>
      </c>
      <c r="C9">
        <v>2000</v>
      </c>
      <c r="D9" t="str">
        <f t="shared" si="0"/>
        <v>South</v>
      </c>
      <c r="E9" t="str">
        <f t="shared" si="1"/>
        <v>Desktop</v>
      </c>
      <c r="F9" t="str">
        <f t="shared" si="2"/>
        <v>desktop</v>
      </c>
    </row>
    <row r="10" spans="1:6" x14ac:dyDescent="0.2">
      <c r="A10" t="s">
        <v>5</v>
      </c>
      <c r="B10" t="s">
        <v>8</v>
      </c>
      <c r="C10">
        <v>950</v>
      </c>
      <c r="D10" t="str">
        <f t="shared" si="0"/>
        <v>East</v>
      </c>
      <c r="E10" t="str">
        <f t="shared" si="1"/>
        <v>Tablet</v>
      </c>
      <c r="F10" t="str">
        <f t="shared" si="2"/>
        <v>tablet</v>
      </c>
    </row>
    <row r="13" spans="1:6" x14ac:dyDescent="0.2">
      <c r="D13" s="8">
        <f>AVERAGE(C2:C10)</f>
        <v>1288.8888888888889</v>
      </c>
      <c r="E13" s="8">
        <f>AVERAGE(C2:C10)+120%</f>
        <v>1290.088888888889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C9194-80D0-664A-871C-891886139B3E}">
  <dimension ref="A1:E13"/>
  <sheetViews>
    <sheetView zoomScale="150" zoomScaleNormal="150" workbookViewId="0">
      <selection activeCell="C4" sqref="C4"/>
    </sheetView>
  </sheetViews>
  <sheetFormatPr baseColWidth="10" defaultRowHeight="16" x14ac:dyDescent="0.2"/>
  <cols>
    <col min="4" max="4" width="17.83203125" customWidth="1"/>
    <col min="5" max="5" width="31.83203125" customWidth="1"/>
  </cols>
  <sheetData>
    <row r="1" spans="1:5" x14ac:dyDescent="0.2">
      <c r="A1" t="s">
        <v>0</v>
      </c>
      <c r="B1" t="s">
        <v>1</v>
      </c>
      <c r="C1" t="s">
        <v>2</v>
      </c>
      <c r="D1" t="s">
        <v>29</v>
      </c>
      <c r="E1" t="s">
        <v>28</v>
      </c>
    </row>
    <row r="2" spans="1:5" x14ac:dyDescent="0.2">
      <c r="A2" t="s">
        <v>3</v>
      </c>
      <c r="B2" t="s">
        <v>7</v>
      </c>
      <c r="C2">
        <v>1500</v>
      </c>
      <c r="D2" t="str">
        <f>TRIM(A2)</f>
        <v>North</v>
      </c>
      <c r="E2" t="str">
        <f>PROPER(TRIM(B2))</f>
        <v>Laptop</v>
      </c>
    </row>
    <row r="3" spans="1:5" x14ac:dyDescent="0.2">
      <c r="A3" t="s">
        <v>4</v>
      </c>
      <c r="B3" t="s">
        <v>9</v>
      </c>
      <c r="C3">
        <v>1200</v>
      </c>
      <c r="D3" t="str">
        <f t="shared" ref="D3:D13" si="0">TRIM(A3)</f>
        <v>West</v>
      </c>
      <c r="E3" t="str">
        <f t="shared" ref="E3:E13" si="1">PROPER(TRIM(B3))</f>
        <v>Desktop</v>
      </c>
    </row>
    <row r="4" spans="1:5" x14ac:dyDescent="0.2">
      <c r="A4" t="s">
        <v>5</v>
      </c>
      <c r="B4" t="s">
        <v>8</v>
      </c>
      <c r="D4" t="str">
        <f t="shared" si="0"/>
        <v>East</v>
      </c>
      <c r="E4" t="str">
        <f t="shared" si="1"/>
        <v>Tablet</v>
      </c>
    </row>
    <row r="5" spans="1:5" x14ac:dyDescent="0.2">
      <c r="A5" t="s">
        <v>6</v>
      </c>
      <c r="B5" t="s">
        <v>7</v>
      </c>
      <c r="C5">
        <v>2100</v>
      </c>
      <c r="D5" t="str">
        <f t="shared" si="0"/>
        <v>South</v>
      </c>
      <c r="E5" t="str">
        <f t="shared" si="1"/>
        <v>Laptop</v>
      </c>
    </row>
    <row r="6" spans="1:5" x14ac:dyDescent="0.2">
      <c r="A6" t="s">
        <v>3</v>
      </c>
      <c r="B6" t="s">
        <v>32</v>
      </c>
      <c r="C6">
        <v>1150</v>
      </c>
      <c r="D6" t="str">
        <f t="shared" si="0"/>
        <v>North</v>
      </c>
      <c r="E6" t="str">
        <f t="shared" si="1"/>
        <v>Deckstop</v>
      </c>
    </row>
    <row r="7" spans="1:5" x14ac:dyDescent="0.2">
      <c r="A7" t="s">
        <v>4</v>
      </c>
      <c r="B7" t="s">
        <v>31</v>
      </c>
      <c r="C7">
        <v>1800</v>
      </c>
      <c r="D7" t="str">
        <f t="shared" si="0"/>
        <v>West</v>
      </c>
      <c r="E7" t="str">
        <f t="shared" si="1"/>
        <v>Laptop</v>
      </c>
    </row>
    <row r="8" spans="1:5" x14ac:dyDescent="0.2">
      <c r="A8" t="s">
        <v>5</v>
      </c>
      <c r="B8" t="s">
        <v>30</v>
      </c>
      <c r="C8">
        <v>900</v>
      </c>
      <c r="D8" t="str">
        <f t="shared" si="0"/>
        <v>East</v>
      </c>
      <c r="E8" t="str">
        <f t="shared" si="1"/>
        <v>Tablet</v>
      </c>
    </row>
    <row r="9" spans="1:5" x14ac:dyDescent="0.2">
      <c r="A9" t="s">
        <v>6</v>
      </c>
      <c r="B9" t="s">
        <v>9</v>
      </c>
      <c r="C9">
        <v>2000</v>
      </c>
      <c r="D9" t="str">
        <f t="shared" si="0"/>
        <v>South</v>
      </c>
      <c r="E9" t="str">
        <f t="shared" si="1"/>
        <v>Desktop</v>
      </c>
    </row>
    <row r="10" spans="1:5" x14ac:dyDescent="0.2">
      <c r="A10" t="s">
        <v>3</v>
      </c>
      <c r="B10" t="s">
        <v>7</v>
      </c>
      <c r="C10">
        <v>1500</v>
      </c>
      <c r="D10" t="str">
        <f t="shared" si="0"/>
        <v>North</v>
      </c>
      <c r="E10" t="str">
        <f t="shared" si="1"/>
        <v>Laptop</v>
      </c>
    </row>
    <row r="11" spans="1:5" x14ac:dyDescent="0.2">
      <c r="A11" t="s">
        <v>4</v>
      </c>
      <c r="B11" t="s">
        <v>9</v>
      </c>
      <c r="C11">
        <v>1200</v>
      </c>
      <c r="D11" t="str">
        <f t="shared" si="0"/>
        <v>West</v>
      </c>
      <c r="E11" t="str">
        <f t="shared" si="1"/>
        <v>Desktop</v>
      </c>
    </row>
    <row r="12" spans="1:5" x14ac:dyDescent="0.2">
      <c r="A12" t="s">
        <v>5</v>
      </c>
      <c r="B12" t="s">
        <v>8</v>
      </c>
      <c r="C12">
        <v>950</v>
      </c>
      <c r="D12" t="str">
        <f t="shared" si="0"/>
        <v>East</v>
      </c>
      <c r="E12" t="str">
        <f t="shared" si="1"/>
        <v>Tablet</v>
      </c>
    </row>
    <row r="13" spans="1:5" x14ac:dyDescent="0.2">
      <c r="A13" t="s">
        <v>6</v>
      </c>
      <c r="B13" t="s">
        <v>7</v>
      </c>
      <c r="C13">
        <v>2100</v>
      </c>
      <c r="D13" t="str">
        <f t="shared" si="0"/>
        <v>South</v>
      </c>
      <c r="E13" t="str">
        <f t="shared" si="1"/>
        <v>Laptop</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5718-56DB-6B41-9D65-463A7010A6C7}">
  <dimension ref="A1:S25"/>
  <sheetViews>
    <sheetView zoomScale="150" zoomScaleNormal="150" workbookViewId="0">
      <selection activeCell="F18" sqref="F18"/>
    </sheetView>
  </sheetViews>
  <sheetFormatPr baseColWidth="10" defaultRowHeight="16" x14ac:dyDescent="0.2"/>
  <cols>
    <col min="1" max="1" width="10.6640625" style="2" customWidth="1"/>
    <col min="8" max="8" width="13" bestFit="1" customWidth="1"/>
    <col min="9" max="9" width="16" bestFit="1" customWidth="1"/>
    <col min="10" max="11" width="6.1640625" bestFit="1" customWidth="1"/>
    <col min="12" max="12" width="7" bestFit="1" customWidth="1"/>
    <col min="13" max="13" width="10.6640625" bestFit="1" customWidth="1"/>
    <col min="14" max="14" width="13.33203125" bestFit="1" customWidth="1"/>
    <col min="15" max="15" width="16" bestFit="1" customWidth="1"/>
    <col min="16" max="16" width="4.1640625" bestFit="1" customWidth="1"/>
    <col min="17" max="17" width="4.33203125" bestFit="1" customWidth="1"/>
    <col min="18" max="18" width="7" bestFit="1" customWidth="1"/>
    <col min="19" max="19" width="10.6640625" bestFit="1" customWidth="1"/>
    <col min="20" max="21" width="9.83203125" bestFit="1" customWidth="1"/>
    <col min="22" max="22" width="11.33203125" bestFit="1" customWidth="1"/>
    <col min="23" max="23" width="10.6640625" bestFit="1" customWidth="1"/>
  </cols>
  <sheetData>
    <row r="1" spans="1:15" x14ac:dyDescent="0.2">
      <c r="A1" s="2" t="s">
        <v>0</v>
      </c>
      <c r="B1" t="s">
        <v>11</v>
      </c>
      <c r="C1" t="s">
        <v>1</v>
      </c>
      <c r="D1" t="s">
        <v>12</v>
      </c>
    </row>
    <row r="2" spans="1:15" x14ac:dyDescent="0.2">
      <c r="A2" s="2" t="s">
        <v>3</v>
      </c>
      <c r="B2" t="s">
        <v>13</v>
      </c>
      <c r="C2" t="s">
        <v>10</v>
      </c>
      <c r="D2">
        <v>1500</v>
      </c>
    </row>
    <row r="3" spans="1:15" x14ac:dyDescent="0.2">
      <c r="A3" s="2" t="s">
        <v>3</v>
      </c>
      <c r="B3" t="s">
        <v>13</v>
      </c>
      <c r="C3" t="s">
        <v>16</v>
      </c>
      <c r="D3">
        <v>1200</v>
      </c>
      <c r="H3" s="4" t="s">
        <v>37</v>
      </c>
      <c r="I3" s="4" t="s">
        <v>35</v>
      </c>
    </row>
    <row r="4" spans="1:15" x14ac:dyDescent="0.2">
      <c r="A4" s="2" t="s">
        <v>3</v>
      </c>
      <c r="B4" t="s">
        <v>14</v>
      </c>
      <c r="C4" t="s">
        <v>10</v>
      </c>
      <c r="D4">
        <v>1700</v>
      </c>
      <c r="H4" s="4" t="s">
        <v>33</v>
      </c>
      <c r="I4" t="s">
        <v>13</v>
      </c>
      <c r="J4" t="s">
        <v>14</v>
      </c>
      <c r="K4" t="s">
        <v>15</v>
      </c>
      <c r="L4" t="s">
        <v>36</v>
      </c>
      <c r="M4" t="s">
        <v>34</v>
      </c>
    </row>
    <row r="5" spans="1:15" x14ac:dyDescent="0.2">
      <c r="A5" s="2" t="s">
        <v>3</v>
      </c>
      <c r="B5" t="s">
        <v>14</v>
      </c>
      <c r="C5" t="s">
        <v>16</v>
      </c>
      <c r="D5">
        <v>1300</v>
      </c>
      <c r="H5" s="5" t="s">
        <v>5</v>
      </c>
      <c r="I5" s="7">
        <v>1700</v>
      </c>
      <c r="J5" s="7">
        <v>1800</v>
      </c>
      <c r="K5" s="7">
        <v>1000</v>
      </c>
      <c r="L5" s="7">
        <v>900</v>
      </c>
      <c r="M5" s="7">
        <v>5400</v>
      </c>
    </row>
    <row r="6" spans="1:15" x14ac:dyDescent="0.2">
      <c r="A6" s="2" t="s">
        <v>3</v>
      </c>
      <c r="B6" t="s">
        <v>15</v>
      </c>
      <c r="C6" t="s">
        <v>10</v>
      </c>
      <c r="D6">
        <v>1600</v>
      </c>
      <c r="H6" s="5" t="s">
        <v>3</v>
      </c>
      <c r="I6" s="7">
        <v>2700</v>
      </c>
      <c r="J6" s="7">
        <v>3000</v>
      </c>
      <c r="K6" s="7">
        <v>2850</v>
      </c>
      <c r="L6" s="7"/>
      <c r="M6" s="7">
        <v>8550</v>
      </c>
    </row>
    <row r="7" spans="1:15" x14ac:dyDescent="0.2">
      <c r="A7" s="2" t="s">
        <v>3</v>
      </c>
      <c r="B7" t="s">
        <v>15</v>
      </c>
      <c r="C7" t="s">
        <v>16</v>
      </c>
      <c r="D7">
        <v>1250</v>
      </c>
      <c r="H7" s="5" t="s">
        <v>6</v>
      </c>
      <c r="I7" s="7">
        <v>3100</v>
      </c>
      <c r="J7" s="7">
        <v>3300</v>
      </c>
      <c r="K7" s="7">
        <v>3050</v>
      </c>
      <c r="L7" s="7"/>
      <c r="M7" s="7">
        <v>9450</v>
      </c>
    </row>
    <row r="8" spans="1:15" x14ac:dyDescent="0.2">
      <c r="A8" s="2" t="s">
        <v>6</v>
      </c>
      <c r="B8" t="s">
        <v>13</v>
      </c>
      <c r="C8" t="s">
        <v>10</v>
      </c>
      <c r="D8">
        <v>2100</v>
      </c>
      <c r="H8" s="5" t="s">
        <v>17</v>
      </c>
      <c r="I8" s="7">
        <v>3200</v>
      </c>
      <c r="J8" s="7">
        <v>3350</v>
      </c>
      <c r="K8" s="7">
        <v>3500</v>
      </c>
      <c r="L8" s="7"/>
      <c r="M8" s="7">
        <v>10050</v>
      </c>
    </row>
    <row r="9" spans="1:15" x14ac:dyDescent="0.2">
      <c r="A9" s="2" t="s">
        <v>6</v>
      </c>
      <c r="B9" t="s">
        <v>13</v>
      </c>
      <c r="C9" t="s">
        <v>16</v>
      </c>
      <c r="D9">
        <v>1000</v>
      </c>
      <c r="H9" s="5" t="s">
        <v>34</v>
      </c>
      <c r="I9" s="7">
        <v>10700</v>
      </c>
      <c r="J9" s="7">
        <v>11450</v>
      </c>
      <c r="K9" s="7">
        <v>10400</v>
      </c>
      <c r="L9" s="7">
        <v>900</v>
      </c>
      <c r="M9" s="7">
        <v>33450</v>
      </c>
    </row>
    <row r="10" spans="1:15" x14ac:dyDescent="0.2">
      <c r="A10" s="2" t="s">
        <v>6</v>
      </c>
      <c r="B10" t="s">
        <v>14</v>
      </c>
      <c r="C10" t="s">
        <v>10</v>
      </c>
      <c r="D10">
        <v>2200</v>
      </c>
    </row>
    <row r="11" spans="1:15" x14ac:dyDescent="0.2">
      <c r="A11" s="2" t="s">
        <v>6</v>
      </c>
      <c r="B11" t="s">
        <v>14</v>
      </c>
      <c r="C11" t="s">
        <v>16</v>
      </c>
      <c r="D11">
        <v>1100</v>
      </c>
    </row>
    <row r="12" spans="1:15" x14ac:dyDescent="0.2">
      <c r="A12" s="2" t="s">
        <v>6</v>
      </c>
      <c r="B12" t="s">
        <v>15</v>
      </c>
      <c r="C12" t="s">
        <v>10</v>
      </c>
      <c r="D12">
        <v>2000</v>
      </c>
    </row>
    <row r="13" spans="1:15" x14ac:dyDescent="0.2">
      <c r="A13" s="2" t="s">
        <v>6</v>
      </c>
      <c r="B13" t="s">
        <v>15</v>
      </c>
      <c r="C13" t="s">
        <v>16</v>
      </c>
      <c r="D13">
        <v>1050</v>
      </c>
    </row>
    <row r="14" spans="1:15" x14ac:dyDescent="0.2">
      <c r="A14" s="2" t="s">
        <v>5</v>
      </c>
      <c r="B14" t="s">
        <v>13</v>
      </c>
      <c r="C14" t="s">
        <v>10</v>
      </c>
      <c r="D14">
        <v>900</v>
      </c>
    </row>
    <row r="15" spans="1:15" x14ac:dyDescent="0.2">
      <c r="A15" s="2" t="s">
        <v>5</v>
      </c>
      <c r="B15" t="s">
        <v>13</v>
      </c>
      <c r="C15" t="s">
        <v>16</v>
      </c>
      <c r="D15">
        <v>800</v>
      </c>
    </row>
    <row r="16" spans="1:15" x14ac:dyDescent="0.2">
      <c r="A16" s="2" t="s">
        <v>5</v>
      </c>
      <c r="B16" t="s">
        <v>14</v>
      </c>
      <c r="C16" t="s">
        <v>10</v>
      </c>
      <c r="D16">
        <v>950</v>
      </c>
      <c r="N16" s="4" t="s">
        <v>86</v>
      </c>
      <c r="O16" s="4" t="s">
        <v>35</v>
      </c>
    </row>
    <row r="17" spans="1:19" x14ac:dyDescent="0.2">
      <c r="A17" s="2" t="s">
        <v>5</v>
      </c>
      <c r="B17" t="s">
        <v>14</v>
      </c>
      <c r="C17" t="s">
        <v>16</v>
      </c>
      <c r="D17">
        <v>850</v>
      </c>
      <c r="N17" s="4" t="s">
        <v>33</v>
      </c>
      <c r="O17" t="s">
        <v>13</v>
      </c>
      <c r="P17" t="s">
        <v>14</v>
      </c>
      <c r="Q17" t="s">
        <v>15</v>
      </c>
      <c r="R17" t="s">
        <v>36</v>
      </c>
      <c r="S17" t="s">
        <v>34</v>
      </c>
    </row>
    <row r="18" spans="1:19" x14ac:dyDescent="0.2">
      <c r="A18" s="2" t="s">
        <v>5</v>
      </c>
      <c r="B18" t="s">
        <v>15</v>
      </c>
      <c r="C18" t="s">
        <v>10</v>
      </c>
      <c r="D18">
        <v>1000</v>
      </c>
      <c r="N18" s="5" t="s">
        <v>16</v>
      </c>
      <c r="O18" s="7">
        <v>4</v>
      </c>
      <c r="P18" s="7">
        <v>4</v>
      </c>
      <c r="Q18" s="7">
        <v>3</v>
      </c>
      <c r="R18" s="7">
        <v>1</v>
      </c>
      <c r="S18" s="7">
        <v>12</v>
      </c>
    </row>
    <row r="19" spans="1:19" x14ac:dyDescent="0.2">
      <c r="A19" s="2" t="s">
        <v>5</v>
      </c>
      <c r="C19" t="s">
        <v>16</v>
      </c>
      <c r="D19">
        <v>900</v>
      </c>
      <c r="N19" s="5" t="s">
        <v>10</v>
      </c>
      <c r="O19" s="7">
        <v>4</v>
      </c>
      <c r="P19" s="7">
        <v>4</v>
      </c>
      <c r="Q19" s="7">
        <v>4</v>
      </c>
      <c r="R19" s="7"/>
      <c r="S19" s="7">
        <v>12</v>
      </c>
    </row>
    <row r="20" spans="1:19" x14ac:dyDescent="0.2">
      <c r="A20" s="2" t="s">
        <v>17</v>
      </c>
      <c r="B20" t="s">
        <v>13</v>
      </c>
      <c r="C20" t="s">
        <v>10</v>
      </c>
      <c r="D20">
        <v>1800</v>
      </c>
      <c r="N20" s="5" t="s">
        <v>34</v>
      </c>
      <c r="O20" s="7">
        <v>8</v>
      </c>
      <c r="P20" s="7">
        <v>8</v>
      </c>
      <c r="Q20" s="7">
        <v>7</v>
      </c>
      <c r="R20" s="7">
        <v>1</v>
      </c>
      <c r="S20" s="7">
        <v>24</v>
      </c>
    </row>
    <row r="21" spans="1:19" x14ac:dyDescent="0.2">
      <c r="A21" s="2" t="s">
        <v>17</v>
      </c>
      <c r="B21" t="s">
        <v>13</v>
      </c>
      <c r="C21" t="s">
        <v>16</v>
      </c>
      <c r="D21">
        <v>1400</v>
      </c>
    </row>
    <row r="22" spans="1:19" x14ac:dyDescent="0.2">
      <c r="A22" s="2" t="s">
        <v>17</v>
      </c>
      <c r="B22" t="s">
        <v>14</v>
      </c>
      <c r="C22" t="s">
        <v>10</v>
      </c>
      <c r="D22">
        <v>1900</v>
      </c>
    </row>
    <row r="23" spans="1:19" x14ac:dyDescent="0.2">
      <c r="A23" s="2" t="s">
        <v>17</v>
      </c>
      <c r="B23" t="s">
        <v>14</v>
      </c>
      <c r="C23" t="s">
        <v>16</v>
      </c>
      <c r="D23">
        <v>1450</v>
      </c>
    </row>
    <row r="24" spans="1:19" x14ac:dyDescent="0.2">
      <c r="A24" s="2" t="s">
        <v>17</v>
      </c>
      <c r="B24" t="s">
        <v>15</v>
      </c>
      <c r="C24" t="s">
        <v>10</v>
      </c>
      <c r="D24">
        <v>2000</v>
      </c>
    </row>
    <row r="25" spans="1:19" x14ac:dyDescent="0.2">
      <c r="A25" s="2" t="s">
        <v>17</v>
      </c>
      <c r="B25" t="s">
        <v>15</v>
      </c>
      <c r="C25" t="s">
        <v>16</v>
      </c>
      <c r="D25">
        <v>1500</v>
      </c>
    </row>
  </sheetData>
  <conditionalFormatting sqref="D2:D1048576">
    <cfRule type="expression" dxfId="2" priority="13" stopIfTrue="1">
      <formula>$D2&gt;1800</formula>
    </cfRule>
    <cfRule type="top10" dxfId="1" priority="19" rank="10"/>
    <cfRule type="top10" dxfId="0" priority="20" bottom="1" rank="10"/>
  </conditionalFormatting>
  <conditionalFormatting sqref="N5:N8">
    <cfRule type="dataBar" priority="14">
      <dataBar>
        <cfvo type="min"/>
        <cfvo type="max"/>
        <color rgb="FF638EC6"/>
      </dataBar>
      <extLst>
        <ext xmlns:x14="http://schemas.microsoft.com/office/spreadsheetml/2009/9/main" uri="{B025F937-C7B1-47D3-B67F-A62EFF666E3E}">
          <x14:id>{6949CFAD-03A4-B144-9103-9051646530A6}</x14:id>
        </ext>
      </extLst>
    </cfRule>
  </conditionalFormatting>
  <conditionalFormatting sqref="M4">
    <cfRule type="dataBar" priority="17">
      <dataBar>
        <cfvo type="min"/>
        <cfvo type="max"/>
        <color rgb="FF638EC6"/>
      </dataBar>
      <extLst>
        <ext xmlns:x14="http://schemas.microsoft.com/office/spreadsheetml/2009/9/main" uri="{B025F937-C7B1-47D3-B67F-A62EFF666E3E}">
          <x14:id>{29F95FC3-6BDF-E24F-A2EB-67CFB896E753}</x14:id>
        </ext>
      </extLst>
    </cfRule>
  </conditionalFormatting>
  <conditionalFormatting sqref="H5">
    <cfRule type="dataBar" priority="11">
      <dataBar>
        <cfvo type="min"/>
        <cfvo type="max"/>
        <color rgb="FF638EC6"/>
      </dataBar>
      <extLst>
        <ext xmlns:x14="http://schemas.microsoft.com/office/spreadsheetml/2009/9/main" uri="{B025F937-C7B1-47D3-B67F-A62EFF666E3E}">
          <x14:id>{369DAC60-5EFB-E840-970D-BA9AD7319AA6}</x14:id>
        </ext>
      </extLst>
    </cfRule>
  </conditionalFormatting>
  <conditionalFormatting sqref="H4">
    <cfRule type="dataBar" priority="10">
      <dataBar>
        <cfvo type="min"/>
        <cfvo type="max"/>
        <color rgb="FF638EC6"/>
      </dataBar>
      <extLst>
        <ext xmlns:x14="http://schemas.microsoft.com/office/spreadsheetml/2009/9/main" uri="{B025F937-C7B1-47D3-B67F-A62EFF666E3E}">
          <x14:id>{F2DF8123-A478-7849-A15C-5AA2C6C2B5AB}</x14:id>
        </ext>
      </extLst>
    </cfRule>
  </conditionalFormatting>
  <conditionalFormatting sqref="I4:M4">
    <cfRule type="dataBar" priority="9">
      <dataBar>
        <cfvo type="min"/>
        <cfvo type="max"/>
        <color rgb="FF638EC6"/>
      </dataBar>
      <extLst>
        <ext xmlns:x14="http://schemas.microsoft.com/office/spreadsheetml/2009/9/main" uri="{B025F937-C7B1-47D3-B67F-A62EFF666E3E}">
          <x14:id>{9DE9F88D-C42F-CE4E-B7CA-9D3FB5A1FC4D}</x14:id>
        </ext>
      </extLst>
    </cfRule>
  </conditionalFormatting>
  <conditionalFormatting sqref="I4">
    <cfRule type="dataBar" priority="6">
      <dataBar>
        <cfvo type="min"/>
        <cfvo type="max"/>
        <color rgb="FFFF555A"/>
      </dataBar>
      <extLst>
        <ext xmlns:x14="http://schemas.microsoft.com/office/spreadsheetml/2009/9/main" uri="{B025F937-C7B1-47D3-B67F-A62EFF666E3E}">
          <x14:id>{1E92B18F-120B-6E44-8810-27C14A2B6373}</x14:id>
        </ext>
      </extLst>
    </cfRule>
  </conditionalFormatting>
  <conditionalFormatting sqref="I3">
    <cfRule type="dataBar" priority="7">
      <dataBar>
        <cfvo type="min"/>
        <cfvo type="max"/>
        <color rgb="FF638EC6"/>
      </dataBar>
      <extLst>
        <ext xmlns:x14="http://schemas.microsoft.com/office/spreadsheetml/2009/9/main" uri="{B025F937-C7B1-47D3-B67F-A62EFF666E3E}">
          <x14:id>{4E91ABCD-15D3-8E4C-AB5B-7C786DB572E1}</x14:id>
        </ext>
      </extLst>
    </cfRule>
  </conditionalFormatting>
  <conditionalFormatting pivot="1" sqref="I5:I9">
    <cfRule type="dataBar" priority="5">
      <dataBar>
        <cfvo type="min"/>
        <cfvo type="max"/>
        <color rgb="FF638EC6"/>
      </dataBar>
      <extLst>
        <ext xmlns:x14="http://schemas.microsoft.com/office/spreadsheetml/2009/9/main" uri="{B025F937-C7B1-47D3-B67F-A62EFF666E3E}">
          <x14:id>{9EE13311-BE6D-CF46-A16B-E8A9298C9737}</x14:id>
        </ext>
      </extLst>
    </cfRule>
  </conditionalFormatting>
  <conditionalFormatting pivot="1" sqref="J5:J9">
    <cfRule type="dataBar" priority="4">
      <dataBar>
        <cfvo type="min"/>
        <cfvo type="max"/>
        <color rgb="FF638EC6"/>
      </dataBar>
      <extLst>
        <ext xmlns:x14="http://schemas.microsoft.com/office/spreadsheetml/2009/9/main" uri="{B025F937-C7B1-47D3-B67F-A62EFF666E3E}">
          <x14:id>{AB3BBDF2-F5F2-4342-9A08-B54016C27C57}</x14:id>
        </ext>
      </extLst>
    </cfRule>
  </conditionalFormatting>
  <conditionalFormatting pivot="1" sqref="K5:K9">
    <cfRule type="dataBar" priority="3">
      <dataBar>
        <cfvo type="min"/>
        <cfvo type="max"/>
        <color rgb="FF638EC6"/>
      </dataBar>
      <extLst>
        <ext xmlns:x14="http://schemas.microsoft.com/office/spreadsheetml/2009/9/main" uri="{B025F937-C7B1-47D3-B67F-A62EFF666E3E}">
          <x14:id>{23AA02B8-A8FC-134A-891C-FF919B3C21EB}</x14:id>
        </ext>
      </extLst>
    </cfRule>
  </conditionalFormatting>
  <conditionalFormatting pivot="1" sqref="L5:L9">
    <cfRule type="dataBar" priority="2">
      <dataBar>
        <cfvo type="min"/>
        <cfvo type="max"/>
        <color rgb="FF638EC6"/>
      </dataBar>
      <extLst>
        <ext xmlns:x14="http://schemas.microsoft.com/office/spreadsheetml/2009/9/main" uri="{B025F937-C7B1-47D3-B67F-A62EFF666E3E}">
          <x14:id>{18E8745F-7B9C-B548-9EC4-A876C4CE83C9}</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6949CFAD-03A4-B144-9103-9051646530A6}">
            <x14:dataBar minLength="0" maxLength="100" border="1" negativeBarBorderColorSameAsPositive="0">
              <x14:cfvo type="autoMin"/>
              <x14:cfvo type="autoMax"/>
              <x14:borderColor rgb="FF638EC6"/>
              <x14:negativeFillColor rgb="FFFF0000"/>
              <x14:negativeBorderColor rgb="FFFF0000"/>
              <x14:axisColor rgb="FF000000"/>
            </x14:dataBar>
          </x14:cfRule>
          <xm:sqref>N5:N8</xm:sqref>
        </x14:conditionalFormatting>
        <x14:conditionalFormatting xmlns:xm="http://schemas.microsoft.com/office/excel/2006/main">
          <x14:cfRule type="dataBar" id="{29F95FC3-6BDF-E24F-A2EB-67CFB896E753}">
            <x14:dataBar minLength="0" maxLength="100" border="1" negativeBarBorderColorSameAsPositive="0">
              <x14:cfvo type="autoMin"/>
              <x14:cfvo type="autoMax"/>
              <x14:borderColor rgb="FF638EC6"/>
              <x14:negativeFillColor rgb="FFFF0000"/>
              <x14:negativeBorderColor rgb="FFFF0000"/>
              <x14:axisColor rgb="FF000000"/>
            </x14:dataBar>
          </x14:cfRule>
          <xm:sqref>M4</xm:sqref>
        </x14:conditionalFormatting>
        <x14:conditionalFormatting xmlns:xm="http://schemas.microsoft.com/office/excel/2006/main">
          <x14:cfRule type="dataBar" id="{369DAC60-5EFB-E840-970D-BA9AD7319AA6}">
            <x14:dataBar minLength="0" maxLength="100" border="1" negativeBarBorderColorSameAsPositive="0">
              <x14:cfvo type="autoMin"/>
              <x14:cfvo type="autoMax"/>
              <x14:borderColor rgb="FF638EC6"/>
              <x14:negativeFillColor rgb="FFFF0000"/>
              <x14:negativeBorderColor rgb="FFFF0000"/>
              <x14:axisColor rgb="FF000000"/>
            </x14:dataBar>
          </x14:cfRule>
          <xm:sqref>H5</xm:sqref>
        </x14:conditionalFormatting>
        <x14:conditionalFormatting xmlns:xm="http://schemas.microsoft.com/office/excel/2006/main">
          <x14:cfRule type="dataBar" id="{F2DF8123-A478-7849-A15C-5AA2C6C2B5AB}">
            <x14:dataBar minLength="0" maxLength="100" border="1" negativeBarBorderColorSameAsPositive="0">
              <x14:cfvo type="autoMin"/>
              <x14:cfvo type="autoMax"/>
              <x14:borderColor rgb="FF638EC6"/>
              <x14:negativeFillColor rgb="FFFF0000"/>
              <x14:negativeBorderColor rgb="FFFF0000"/>
              <x14:axisColor rgb="FF000000"/>
            </x14:dataBar>
          </x14:cfRule>
          <xm:sqref>H4</xm:sqref>
        </x14:conditionalFormatting>
        <x14:conditionalFormatting xmlns:xm="http://schemas.microsoft.com/office/excel/2006/main">
          <x14:cfRule type="dataBar" id="{9DE9F88D-C42F-CE4E-B7CA-9D3FB5A1FC4D}">
            <x14:dataBar minLength="0" maxLength="100" border="1" negativeBarBorderColorSameAsPositive="0">
              <x14:cfvo type="autoMin"/>
              <x14:cfvo type="autoMax"/>
              <x14:borderColor rgb="FF638EC6"/>
              <x14:negativeFillColor rgb="FFFF0000"/>
              <x14:negativeBorderColor rgb="FFFF0000"/>
              <x14:axisColor rgb="FF000000"/>
            </x14:dataBar>
          </x14:cfRule>
          <xm:sqref>I4:M4</xm:sqref>
        </x14:conditionalFormatting>
        <x14:conditionalFormatting xmlns:xm="http://schemas.microsoft.com/office/excel/2006/main">
          <x14:cfRule type="dataBar" id="{1E92B18F-120B-6E44-8810-27C14A2B6373}">
            <x14:dataBar minLength="0" maxLength="100" border="1" negativeBarBorderColorSameAsPositive="0">
              <x14:cfvo type="autoMin"/>
              <x14:cfvo type="autoMax"/>
              <x14:borderColor rgb="FFFF555A"/>
              <x14:negativeFillColor rgb="FFFF0000"/>
              <x14:negativeBorderColor rgb="FFFF0000"/>
              <x14:axisColor rgb="FF000000"/>
            </x14:dataBar>
          </x14:cfRule>
          <xm:sqref>I4</xm:sqref>
        </x14:conditionalFormatting>
        <x14:conditionalFormatting xmlns:xm="http://schemas.microsoft.com/office/excel/2006/main">
          <x14:cfRule type="dataBar" id="{4E91ABCD-15D3-8E4C-AB5B-7C786DB572E1}">
            <x14:dataBar minLength="0" maxLength="100" border="1" negativeBarBorderColorSameAsPositive="0">
              <x14:cfvo type="autoMin"/>
              <x14:cfvo type="autoMax"/>
              <x14:borderColor rgb="FF638EC6"/>
              <x14:negativeFillColor rgb="FFFF0000"/>
              <x14:negativeBorderColor rgb="FFFF0000"/>
              <x14:axisColor rgb="FF000000"/>
            </x14:dataBar>
          </x14:cfRule>
          <xm:sqref>I3</xm:sqref>
        </x14:conditionalFormatting>
        <x14:conditionalFormatting xmlns:xm="http://schemas.microsoft.com/office/excel/2006/main" pivot="1">
          <x14:cfRule type="dataBar" id="{9EE13311-BE6D-CF46-A16B-E8A9298C9737}">
            <x14:dataBar minLength="0" maxLength="100" border="1" negativeBarBorderColorSameAsPositive="0">
              <x14:cfvo type="autoMin"/>
              <x14:cfvo type="autoMax"/>
              <x14:borderColor rgb="FF638EC6"/>
              <x14:negativeFillColor rgb="FFFF0000"/>
              <x14:negativeBorderColor rgb="FFFF0000"/>
              <x14:axisColor rgb="FF000000"/>
            </x14:dataBar>
          </x14:cfRule>
          <xm:sqref>I5:I9</xm:sqref>
        </x14:conditionalFormatting>
        <x14:conditionalFormatting xmlns:xm="http://schemas.microsoft.com/office/excel/2006/main" pivot="1">
          <x14:cfRule type="dataBar" id="{AB3BBDF2-F5F2-4342-9A08-B54016C27C57}">
            <x14:dataBar minLength="0" maxLength="100" border="1" negativeBarBorderColorSameAsPositive="0">
              <x14:cfvo type="autoMin"/>
              <x14:cfvo type="autoMax"/>
              <x14:borderColor rgb="FF638EC6"/>
              <x14:negativeFillColor rgb="FFFF0000"/>
              <x14:negativeBorderColor rgb="FFFF0000"/>
              <x14:axisColor rgb="FF000000"/>
            </x14:dataBar>
          </x14:cfRule>
          <xm:sqref>J5:J9</xm:sqref>
        </x14:conditionalFormatting>
        <x14:conditionalFormatting xmlns:xm="http://schemas.microsoft.com/office/excel/2006/main" pivot="1">
          <x14:cfRule type="dataBar" id="{23AA02B8-A8FC-134A-891C-FF919B3C21EB}">
            <x14:dataBar minLength="0" maxLength="100" border="1" negativeBarBorderColorSameAsPositive="0">
              <x14:cfvo type="autoMin"/>
              <x14:cfvo type="autoMax"/>
              <x14:borderColor rgb="FF638EC6"/>
              <x14:negativeFillColor rgb="FFFF0000"/>
              <x14:negativeBorderColor rgb="FFFF0000"/>
              <x14:axisColor rgb="FF000000"/>
            </x14:dataBar>
          </x14:cfRule>
          <xm:sqref>K5:K9</xm:sqref>
        </x14:conditionalFormatting>
        <x14:conditionalFormatting xmlns:xm="http://schemas.microsoft.com/office/excel/2006/main" pivot="1">
          <x14:cfRule type="dataBar" id="{18E8745F-7B9C-B548-9EC4-A876C4CE83C9}">
            <x14:dataBar minLength="0" maxLength="100" border="1" negativeBarBorderColorSameAsPositive="0">
              <x14:cfvo type="autoMin"/>
              <x14:cfvo type="autoMax"/>
              <x14:borderColor rgb="FF638EC6"/>
              <x14:negativeFillColor rgb="FFFF0000"/>
              <x14:negativeBorderColor rgb="FFFF0000"/>
              <x14:axisColor rgb="FF000000"/>
            </x14:dataBar>
          </x14:cfRule>
          <xm:sqref>L5:L9</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F823-DFE9-A147-857D-BBB95E714E8F}">
  <dimension ref="A1:O10"/>
  <sheetViews>
    <sheetView zoomScale="132" workbookViewId="0">
      <selection activeCell="B12" sqref="B12"/>
    </sheetView>
  </sheetViews>
  <sheetFormatPr baseColWidth="10" defaultRowHeight="16" x14ac:dyDescent="0.2"/>
  <cols>
    <col min="10" max="10" width="14.1640625" bestFit="1" customWidth="1"/>
    <col min="11" max="11" width="16" bestFit="1" customWidth="1"/>
    <col min="12" max="12" width="5.83203125" bestFit="1" customWidth="1"/>
    <col min="13" max="13" width="4.6640625" bestFit="1" customWidth="1"/>
    <col min="14" max="14" width="9.1640625" bestFit="1" customWidth="1"/>
    <col min="15" max="15" width="10.5" bestFit="1" customWidth="1"/>
    <col min="16" max="16" width="10" bestFit="1" customWidth="1"/>
    <col min="17" max="17" width="9.1640625" bestFit="1" customWidth="1"/>
    <col min="18" max="18" width="7.6640625" bestFit="1" customWidth="1"/>
    <col min="19" max="19" width="10.5" bestFit="1" customWidth="1"/>
    <col min="20" max="20" width="17.33203125" bestFit="1" customWidth="1"/>
  </cols>
  <sheetData>
    <row r="1" spans="1:15" x14ac:dyDescent="0.2">
      <c r="A1" s="1" t="s">
        <v>43</v>
      </c>
      <c r="B1" s="1" t="s">
        <v>44</v>
      </c>
      <c r="C1" t="s">
        <v>45</v>
      </c>
      <c r="D1" s="1" t="s">
        <v>71</v>
      </c>
      <c r="E1" s="1" t="s">
        <v>47</v>
      </c>
      <c r="F1" s="1" t="s">
        <v>38</v>
      </c>
      <c r="G1" s="1" t="s">
        <v>69</v>
      </c>
      <c r="H1" s="1" t="s">
        <v>70</v>
      </c>
    </row>
    <row r="2" spans="1:15" x14ac:dyDescent="0.2">
      <c r="A2">
        <f t="shared" ref="A2:A10" si="0">ROW()+999</f>
        <v>1001</v>
      </c>
      <c r="B2" t="s">
        <v>48</v>
      </c>
      <c r="C2" t="s">
        <v>54</v>
      </c>
      <c r="D2">
        <v>4</v>
      </c>
      <c r="E2">
        <v>3.5</v>
      </c>
      <c r="F2">
        <f>D2*E2</f>
        <v>14</v>
      </c>
      <c r="G2" t="str">
        <f>CLEAN(TRIM(PROPER(B2)))</f>
        <v>Germany</v>
      </c>
      <c r="H2" t="str">
        <f t="shared" ref="H2:H10" si="1">CLEAN(TRIM(PROPER(C2)))</f>
        <v>Mug</v>
      </c>
      <c r="J2" s="4" t="s">
        <v>74</v>
      </c>
      <c r="K2" s="4" t="s">
        <v>35</v>
      </c>
    </row>
    <row r="3" spans="1:15" x14ac:dyDescent="0.2">
      <c r="A3">
        <f t="shared" si="0"/>
        <v>1002</v>
      </c>
      <c r="B3" t="s">
        <v>49</v>
      </c>
      <c r="C3" s="1" t="s">
        <v>55</v>
      </c>
      <c r="D3">
        <v>2</v>
      </c>
      <c r="E3">
        <v>5</v>
      </c>
      <c r="F3">
        <f t="shared" ref="F3:F10" si="2">D3*E3</f>
        <v>10</v>
      </c>
      <c r="G3" t="str">
        <f t="shared" ref="G2:G10" si="3">CLEAN(TRIM(PROPER(B3)))</f>
        <v>France</v>
      </c>
      <c r="H3" t="str">
        <f t="shared" si="1"/>
        <v>Candle</v>
      </c>
      <c r="J3" s="4" t="s">
        <v>33</v>
      </c>
      <c r="K3" t="s">
        <v>64</v>
      </c>
      <c r="L3" t="s">
        <v>73</v>
      </c>
      <c r="M3" t="s">
        <v>56</v>
      </c>
      <c r="N3" t="s">
        <v>62</v>
      </c>
      <c r="O3" t="s">
        <v>34</v>
      </c>
    </row>
    <row r="4" spans="1:15" x14ac:dyDescent="0.2">
      <c r="A4">
        <f t="shared" si="0"/>
        <v>1003</v>
      </c>
      <c r="B4" s="1" t="s">
        <v>50</v>
      </c>
      <c r="C4" s="1" t="s">
        <v>56</v>
      </c>
      <c r="D4">
        <v>4</v>
      </c>
      <c r="E4">
        <v>3.5</v>
      </c>
      <c r="F4">
        <f t="shared" si="2"/>
        <v>14</v>
      </c>
      <c r="G4" t="str">
        <f t="shared" si="3"/>
        <v>Germany</v>
      </c>
      <c r="H4" t="str">
        <f t="shared" si="1"/>
        <v>Mug</v>
      </c>
      <c r="J4" s="5" t="s">
        <v>49</v>
      </c>
      <c r="K4" s="7">
        <v>25</v>
      </c>
      <c r="L4" s="7"/>
      <c r="M4" s="7"/>
      <c r="N4" s="7"/>
      <c r="O4" s="7">
        <v>25</v>
      </c>
    </row>
    <row r="5" spans="1:15" x14ac:dyDescent="0.2">
      <c r="A5">
        <f t="shared" si="0"/>
        <v>1004</v>
      </c>
      <c r="B5" t="s">
        <v>57</v>
      </c>
      <c r="C5" t="s">
        <v>59</v>
      </c>
      <c r="D5">
        <v>1</v>
      </c>
      <c r="E5">
        <v>25</v>
      </c>
      <c r="F5">
        <f t="shared" si="2"/>
        <v>25</v>
      </c>
      <c r="G5" t="str">
        <f t="shared" si="3"/>
        <v>Spain</v>
      </c>
      <c r="H5" t="str">
        <f t="shared" si="1"/>
        <v>Lamp</v>
      </c>
      <c r="J5" s="5" t="s">
        <v>50</v>
      </c>
      <c r="K5" s="7"/>
      <c r="L5" s="7"/>
      <c r="M5" s="7">
        <v>28</v>
      </c>
      <c r="N5" s="7"/>
      <c r="O5" s="7">
        <v>28</v>
      </c>
    </row>
    <row r="6" spans="1:15" x14ac:dyDescent="0.2">
      <c r="A6">
        <f t="shared" si="0"/>
        <v>1005</v>
      </c>
      <c r="B6" s="1" t="s">
        <v>49</v>
      </c>
      <c r="C6" t="s">
        <v>60</v>
      </c>
      <c r="D6">
        <v>3</v>
      </c>
      <c r="E6">
        <v>5</v>
      </c>
      <c r="F6">
        <f t="shared" si="2"/>
        <v>15</v>
      </c>
      <c r="G6" t="str">
        <f t="shared" si="3"/>
        <v>France</v>
      </c>
      <c r="H6" t="str">
        <f t="shared" si="1"/>
        <v>Candle</v>
      </c>
      <c r="J6" s="5" t="s">
        <v>58</v>
      </c>
      <c r="K6" s="7"/>
      <c r="L6" s="7">
        <v>75</v>
      </c>
      <c r="M6" s="7"/>
      <c r="N6" s="7"/>
      <c r="O6" s="7">
        <v>75</v>
      </c>
    </row>
    <row r="7" spans="1:15" x14ac:dyDescent="0.2">
      <c r="A7">
        <f t="shared" si="0"/>
        <v>1006</v>
      </c>
      <c r="B7" s="1" t="s">
        <v>51</v>
      </c>
      <c r="C7" t="s">
        <v>61</v>
      </c>
      <c r="D7">
        <v>10</v>
      </c>
      <c r="E7">
        <v>1.2</v>
      </c>
      <c r="F7">
        <f t="shared" si="2"/>
        <v>12</v>
      </c>
      <c r="G7" t="str">
        <f t="shared" si="3"/>
        <v>Uk</v>
      </c>
      <c r="H7" t="str">
        <f t="shared" si="1"/>
        <v>Notebook</v>
      </c>
      <c r="J7" s="5" t="s">
        <v>72</v>
      </c>
      <c r="K7" s="7"/>
      <c r="L7" s="7"/>
      <c r="M7" s="7"/>
      <c r="N7" s="7">
        <v>18</v>
      </c>
      <c r="O7" s="7">
        <v>18</v>
      </c>
    </row>
    <row r="8" spans="1:15" x14ac:dyDescent="0.2">
      <c r="A8">
        <f t="shared" si="0"/>
        <v>1007</v>
      </c>
      <c r="B8" s="1" t="s">
        <v>58</v>
      </c>
      <c r="C8" t="s">
        <v>59</v>
      </c>
      <c r="D8">
        <v>0</v>
      </c>
      <c r="E8">
        <v>25</v>
      </c>
      <c r="F8">
        <f t="shared" si="2"/>
        <v>0</v>
      </c>
      <c r="G8" t="str">
        <f t="shared" si="3"/>
        <v>Spain</v>
      </c>
      <c r="H8" t="str">
        <f t="shared" si="1"/>
        <v>Lamp</v>
      </c>
      <c r="J8" s="5" t="s">
        <v>34</v>
      </c>
      <c r="K8" s="7">
        <v>25</v>
      </c>
      <c r="L8" s="7">
        <v>75</v>
      </c>
      <c r="M8" s="7">
        <v>28</v>
      </c>
      <c r="N8" s="7">
        <v>18</v>
      </c>
      <c r="O8" s="7">
        <v>146</v>
      </c>
    </row>
    <row r="9" spans="1:15" x14ac:dyDescent="0.2">
      <c r="A9">
        <f t="shared" si="0"/>
        <v>1008</v>
      </c>
      <c r="B9" s="1" t="s">
        <v>52</v>
      </c>
      <c r="C9" s="1" t="s">
        <v>62</v>
      </c>
      <c r="D9">
        <v>5</v>
      </c>
      <c r="E9">
        <v>1.2</v>
      </c>
      <c r="F9">
        <f t="shared" si="2"/>
        <v>6</v>
      </c>
      <c r="G9" t="str">
        <f t="shared" si="3"/>
        <v>Uk</v>
      </c>
      <c r="H9" t="str">
        <f t="shared" si="1"/>
        <v>Notebook</v>
      </c>
    </row>
    <row r="10" spans="1:15" x14ac:dyDescent="0.2">
      <c r="A10">
        <f t="shared" si="0"/>
        <v>1009</v>
      </c>
      <c r="B10" s="1" t="s">
        <v>53</v>
      </c>
      <c r="C10" t="s">
        <v>59</v>
      </c>
      <c r="D10">
        <v>2</v>
      </c>
      <c r="E10">
        <v>25</v>
      </c>
      <c r="F10">
        <f t="shared" si="2"/>
        <v>50</v>
      </c>
      <c r="G10" t="str">
        <f t="shared" si="3"/>
        <v>Spain</v>
      </c>
      <c r="H10" t="str">
        <f t="shared" si="1"/>
        <v>Lamp</v>
      </c>
    </row>
  </sheetData>
  <conditionalFormatting sqref="F1:F104857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C0E3-406B-EA42-8358-FB0F14679466}">
  <dimension ref="A1:H16"/>
  <sheetViews>
    <sheetView zoomScale="134" workbookViewId="0">
      <selection activeCell="I34" sqref="I34"/>
    </sheetView>
  </sheetViews>
  <sheetFormatPr baseColWidth="10" defaultRowHeight="16" x14ac:dyDescent="0.2"/>
  <sheetData>
    <row r="1" spans="1:8" x14ac:dyDescent="0.2">
      <c r="A1" s="1" t="s">
        <v>43</v>
      </c>
      <c r="B1" s="1" t="s">
        <v>44</v>
      </c>
      <c r="C1" t="s">
        <v>45</v>
      </c>
      <c r="D1" s="1" t="s">
        <v>46</v>
      </c>
      <c r="E1" s="1" t="s">
        <v>47</v>
      </c>
      <c r="G1" s="1" t="s">
        <v>69</v>
      </c>
      <c r="H1" s="1" t="s">
        <v>70</v>
      </c>
    </row>
    <row r="2" spans="1:8" x14ac:dyDescent="0.2">
      <c r="A2">
        <f t="shared" ref="A2:A16" si="0">ROW()+999</f>
        <v>1001</v>
      </c>
      <c r="B2" t="s">
        <v>48</v>
      </c>
      <c r="C2" t="s">
        <v>54</v>
      </c>
      <c r="D2">
        <v>4</v>
      </c>
      <c r="E2" t="s">
        <v>65</v>
      </c>
      <c r="G2" t="str">
        <f t="shared" ref="G2:G16" si="1">CLEAN(TRIM(PROPER(B2)))</f>
        <v>Germany</v>
      </c>
      <c r="H2" t="str">
        <f t="shared" ref="H2:H16" si="2">CLEAN(TRIM(PROPER(C2)))</f>
        <v>Mug</v>
      </c>
    </row>
    <row r="3" spans="1:8" x14ac:dyDescent="0.2">
      <c r="A3">
        <f t="shared" si="0"/>
        <v>1002</v>
      </c>
      <c r="B3" t="s">
        <v>49</v>
      </c>
      <c r="C3" s="1" t="s">
        <v>55</v>
      </c>
      <c r="D3">
        <v>2</v>
      </c>
      <c r="E3" t="s">
        <v>67</v>
      </c>
      <c r="G3" t="str">
        <f t="shared" si="1"/>
        <v>France</v>
      </c>
      <c r="H3" t="str">
        <f t="shared" si="2"/>
        <v>Candle</v>
      </c>
    </row>
    <row r="4" spans="1:8" x14ac:dyDescent="0.2">
      <c r="A4">
        <f t="shared" si="0"/>
        <v>1003</v>
      </c>
      <c r="B4" s="1" t="s">
        <v>50</v>
      </c>
      <c r="C4" s="1" t="s">
        <v>56</v>
      </c>
      <c r="D4">
        <v>4</v>
      </c>
      <c r="E4" t="s">
        <v>65</v>
      </c>
      <c r="G4" t="str">
        <f t="shared" si="1"/>
        <v>Germany</v>
      </c>
      <c r="H4" t="str">
        <f t="shared" si="2"/>
        <v>Mug</v>
      </c>
    </row>
    <row r="5" spans="1:8" x14ac:dyDescent="0.2">
      <c r="A5">
        <f t="shared" si="0"/>
        <v>1004</v>
      </c>
      <c r="B5" t="s">
        <v>57</v>
      </c>
      <c r="C5" t="s">
        <v>59</v>
      </c>
      <c r="D5">
        <v>1</v>
      </c>
      <c r="E5" t="s">
        <v>68</v>
      </c>
      <c r="G5" t="str">
        <f t="shared" si="1"/>
        <v>Spain</v>
      </c>
      <c r="H5" t="str">
        <f t="shared" si="2"/>
        <v>Lamp</v>
      </c>
    </row>
    <row r="6" spans="1:8" x14ac:dyDescent="0.2">
      <c r="A6">
        <f t="shared" si="0"/>
        <v>1005</v>
      </c>
      <c r="B6" s="1" t="s">
        <v>49</v>
      </c>
      <c r="C6" t="s">
        <v>60</v>
      </c>
      <c r="D6">
        <v>3</v>
      </c>
      <c r="E6" t="s">
        <v>67</v>
      </c>
      <c r="G6" t="str">
        <f t="shared" si="1"/>
        <v>France</v>
      </c>
      <c r="H6" t="str">
        <f t="shared" si="2"/>
        <v>Candle</v>
      </c>
    </row>
    <row r="7" spans="1:8" x14ac:dyDescent="0.2">
      <c r="A7">
        <f t="shared" si="0"/>
        <v>1006</v>
      </c>
      <c r="B7" s="1" t="s">
        <v>51</v>
      </c>
      <c r="C7" t="s">
        <v>61</v>
      </c>
      <c r="D7">
        <v>10</v>
      </c>
      <c r="E7" t="s">
        <v>66</v>
      </c>
      <c r="G7" t="str">
        <f t="shared" si="1"/>
        <v>Uk</v>
      </c>
      <c r="H7" t="str">
        <f t="shared" si="2"/>
        <v>Notebook</v>
      </c>
    </row>
    <row r="8" spans="1:8" x14ac:dyDescent="0.2">
      <c r="A8">
        <f t="shared" si="0"/>
        <v>1007</v>
      </c>
      <c r="B8" s="1" t="s">
        <v>50</v>
      </c>
      <c r="C8" s="1" t="s">
        <v>54</v>
      </c>
      <c r="D8">
        <v>4</v>
      </c>
      <c r="E8" t="s">
        <v>65</v>
      </c>
      <c r="G8" t="str">
        <f t="shared" si="1"/>
        <v>Germany</v>
      </c>
      <c r="H8" t="str">
        <f t="shared" si="2"/>
        <v>Mug</v>
      </c>
    </row>
    <row r="9" spans="1:8" x14ac:dyDescent="0.2">
      <c r="A9">
        <f t="shared" si="0"/>
        <v>1008</v>
      </c>
      <c r="B9" s="1" t="s">
        <v>58</v>
      </c>
      <c r="C9" t="s">
        <v>59</v>
      </c>
      <c r="D9">
        <v>0</v>
      </c>
      <c r="E9" t="s">
        <v>68</v>
      </c>
      <c r="G9" t="str">
        <f t="shared" si="1"/>
        <v>Spain</v>
      </c>
      <c r="H9" t="str">
        <f t="shared" si="2"/>
        <v>Lamp</v>
      </c>
    </row>
    <row r="10" spans="1:8" x14ac:dyDescent="0.2">
      <c r="A10">
        <f t="shared" si="0"/>
        <v>1009</v>
      </c>
      <c r="B10" s="1" t="s">
        <v>52</v>
      </c>
      <c r="C10" s="1" t="s">
        <v>62</v>
      </c>
      <c r="D10">
        <v>5</v>
      </c>
      <c r="E10" t="s">
        <v>66</v>
      </c>
      <c r="G10" t="str">
        <f t="shared" si="1"/>
        <v>Uk</v>
      </c>
      <c r="H10" t="str">
        <f t="shared" si="2"/>
        <v>Notebook</v>
      </c>
    </row>
    <row r="11" spans="1:8" x14ac:dyDescent="0.2">
      <c r="A11">
        <f t="shared" si="0"/>
        <v>1010</v>
      </c>
      <c r="B11" s="1" t="s">
        <v>49</v>
      </c>
      <c r="C11" t="s">
        <v>64</v>
      </c>
      <c r="D11">
        <v>2</v>
      </c>
      <c r="E11" t="s">
        <v>67</v>
      </c>
      <c r="G11" t="str">
        <f t="shared" si="1"/>
        <v>France</v>
      </c>
      <c r="H11" t="str">
        <f t="shared" si="2"/>
        <v>Candle</v>
      </c>
    </row>
    <row r="12" spans="1:8" x14ac:dyDescent="0.2">
      <c r="A12">
        <f t="shared" si="0"/>
        <v>1011</v>
      </c>
      <c r="B12" s="1" t="s">
        <v>50</v>
      </c>
      <c r="C12" s="1" t="s">
        <v>63</v>
      </c>
      <c r="D12">
        <v>4</v>
      </c>
      <c r="E12" t="s">
        <v>65</v>
      </c>
      <c r="G12" t="str">
        <f t="shared" si="1"/>
        <v>Germany</v>
      </c>
      <c r="H12" t="str">
        <f t="shared" si="2"/>
        <v>Mug</v>
      </c>
    </row>
    <row r="13" spans="1:8" x14ac:dyDescent="0.2">
      <c r="A13">
        <f t="shared" si="0"/>
        <v>1012</v>
      </c>
      <c r="B13" s="1" t="s">
        <v>51</v>
      </c>
      <c r="C13" t="s">
        <v>61</v>
      </c>
      <c r="D13">
        <v>10</v>
      </c>
      <c r="E13" t="s">
        <v>66</v>
      </c>
      <c r="G13" t="str">
        <f t="shared" si="1"/>
        <v>Uk</v>
      </c>
      <c r="H13" t="str">
        <f t="shared" si="2"/>
        <v>Notebook</v>
      </c>
    </row>
    <row r="14" spans="1:8" x14ac:dyDescent="0.2">
      <c r="A14">
        <f t="shared" si="0"/>
        <v>1013</v>
      </c>
      <c r="B14" s="1" t="s">
        <v>53</v>
      </c>
      <c r="C14" t="s">
        <v>59</v>
      </c>
      <c r="D14">
        <v>2</v>
      </c>
      <c r="E14" t="s">
        <v>68</v>
      </c>
      <c r="G14" t="str">
        <f t="shared" si="1"/>
        <v>Spain</v>
      </c>
      <c r="H14" t="str">
        <f t="shared" si="2"/>
        <v>Lamp</v>
      </c>
    </row>
    <row r="15" spans="1:8" x14ac:dyDescent="0.2">
      <c r="A15">
        <f t="shared" si="0"/>
        <v>1014</v>
      </c>
      <c r="B15" s="1" t="s">
        <v>49</v>
      </c>
      <c r="C15" t="s">
        <v>60</v>
      </c>
      <c r="D15">
        <v>3</v>
      </c>
      <c r="E15" t="s">
        <v>67</v>
      </c>
      <c r="G15" t="str">
        <f t="shared" si="1"/>
        <v>France</v>
      </c>
      <c r="H15" t="str">
        <f t="shared" si="2"/>
        <v>Candle</v>
      </c>
    </row>
    <row r="16" spans="1:8" x14ac:dyDescent="0.2">
      <c r="A16">
        <f t="shared" si="0"/>
        <v>1015</v>
      </c>
      <c r="B16" s="1" t="s">
        <v>50</v>
      </c>
      <c r="C16" t="s">
        <v>54</v>
      </c>
      <c r="D16">
        <v>4</v>
      </c>
      <c r="E16" t="s">
        <v>65</v>
      </c>
      <c r="G16" t="str">
        <f t="shared" si="1"/>
        <v>Germany</v>
      </c>
      <c r="H16" t="str">
        <f t="shared" si="2"/>
        <v>Mug</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AB0B2-00C9-7343-949E-48DEF254C781}">
  <dimension ref="A1:C7"/>
  <sheetViews>
    <sheetView workbookViewId="0">
      <selection activeCell="C3" sqref="C3"/>
    </sheetView>
  </sheetViews>
  <sheetFormatPr baseColWidth="10" defaultRowHeight="16" x14ac:dyDescent="0.2"/>
  <sheetData>
    <row r="1" spans="1:3" x14ac:dyDescent="0.2">
      <c r="A1" t="s">
        <v>11</v>
      </c>
      <c r="B1" t="s">
        <v>38</v>
      </c>
      <c r="C1" t="s">
        <v>39</v>
      </c>
    </row>
    <row r="2" spans="1:3" x14ac:dyDescent="0.2">
      <c r="A2" t="s">
        <v>13</v>
      </c>
      <c r="B2">
        <v>10000</v>
      </c>
    </row>
    <row r="3" spans="1:3" x14ac:dyDescent="0.2">
      <c r="A3" t="s">
        <v>14</v>
      </c>
      <c r="B3">
        <v>10800</v>
      </c>
      <c r="C3">
        <v>85</v>
      </c>
    </row>
    <row r="4" spans="1:3" x14ac:dyDescent="0.2">
      <c r="A4" t="s">
        <v>15</v>
      </c>
      <c r="B4">
        <v>9800</v>
      </c>
      <c r="C4">
        <v>-95</v>
      </c>
    </row>
    <row r="5" spans="1:3" x14ac:dyDescent="0.2">
      <c r="A5" t="s">
        <v>40</v>
      </c>
      <c r="B5">
        <v>11500</v>
      </c>
      <c r="C5" s="6">
        <v>0.17</v>
      </c>
    </row>
    <row r="6" spans="1:3" x14ac:dyDescent="0.2">
      <c r="A6" t="s">
        <v>41</v>
      </c>
      <c r="B6">
        <v>11700</v>
      </c>
      <c r="C6" s="6">
        <v>0.02</v>
      </c>
    </row>
    <row r="7" spans="1:3" x14ac:dyDescent="0.2">
      <c r="A7" t="s">
        <v>42</v>
      </c>
      <c r="B7">
        <v>9000</v>
      </c>
      <c r="C7" s="6">
        <v>-0.23</v>
      </c>
    </row>
  </sheetData>
  <conditionalFormatting sqref="B1">
    <cfRule type="colorScale" priority="3">
      <colorScale>
        <cfvo type="min"/>
        <cfvo type="percentile" val="50"/>
        <cfvo type="max"/>
        <color rgb="FFF8696B"/>
        <color rgb="FFFFEB84"/>
        <color rgb="FF63BE7B"/>
      </colorScale>
    </cfRule>
  </conditionalFormatting>
  <conditionalFormatting sqref="B1:B1048576">
    <cfRule type="colorScale" priority="2">
      <colorScale>
        <cfvo type="min"/>
        <cfvo type="percentile" val="50"/>
        <cfvo type="max"/>
        <color rgb="FFF8696B"/>
        <color rgb="FFFFEB84"/>
        <color rgb="FF63BE7B"/>
      </colorScale>
    </cfRule>
  </conditionalFormatting>
  <conditionalFormatting sqref="C1:C1048576">
    <cfRule type="iconSet" priority="1">
      <iconSet iconSet="3Arrows">
        <cfvo type="percent" val="0"/>
        <cfvo type="percent" val="33"/>
        <cfvo type="percent" val="67"/>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5641-A7CD-6242-B897-A219155FC09E}">
  <dimension ref="A1:D9"/>
  <sheetViews>
    <sheetView zoomScale="200" zoomScaleNormal="200" workbookViewId="0">
      <selection activeCell="D2" sqref="D2"/>
    </sheetView>
  </sheetViews>
  <sheetFormatPr baseColWidth="10" defaultRowHeight="16" x14ac:dyDescent="0.2"/>
  <sheetData>
    <row r="1" spans="1:4" x14ac:dyDescent="0.2">
      <c r="A1" t="s">
        <v>18</v>
      </c>
      <c r="B1" t="s">
        <v>19</v>
      </c>
      <c r="C1" t="s">
        <v>20</v>
      </c>
    </row>
    <row r="2" spans="1:4" x14ac:dyDescent="0.2">
      <c r="A2">
        <v>1</v>
      </c>
      <c r="B2" t="s">
        <v>21</v>
      </c>
      <c r="C2">
        <v>3</v>
      </c>
      <c r="D2" t="e">
        <f>VLOOKUP(B$2,Products!A$2,Orders!B$2,FALSE)</f>
        <v>#REF!</v>
      </c>
    </row>
    <row r="3" spans="1:4" x14ac:dyDescent="0.2">
      <c r="A3">
        <v>2</v>
      </c>
      <c r="B3" t="s">
        <v>22</v>
      </c>
      <c r="C3">
        <v>5</v>
      </c>
    </row>
    <row r="4" spans="1:4" x14ac:dyDescent="0.2">
      <c r="A4">
        <v>3</v>
      </c>
      <c r="B4" s="3" t="s">
        <v>23</v>
      </c>
      <c r="C4">
        <v>2</v>
      </c>
    </row>
    <row r="5" spans="1:4" x14ac:dyDescent="0.2">
      <c r="A5">
        <v>4</v>
      </c>
      <c r="B5" s="3" t="s">
        <v>21</v>
      </c>
      <c r="C5">
        <v>1</v>
      </c>
    </row>
    <row r="6" spans="1:4" x14ac:dyDescent="0.2">
      <c r="A6">
        <v>5</v>
      </c>
      <c r="B6" s="3" t="s">
        <v>24</v>
      </c>
      <c r="C6">
        <v>4</v>
      </c>
    </row>
    <row r="7" spans="1:4" x14ac:dyDescent="0.2">
      <c r="A7">
        <v>6</v>
      </c>
      <c r="B7" s="3" t="s">
        <v>22</v>
      </c>
      <c r="C7">
        <v>2</v>
      </c>
    </row>
    <row r="8" spans="1:4" x14ac:dyDescent="0.2">
      <c r="A8">
        <v>7</v>
      </c>
      <c r="B8" s="3" t="s">
        <v>23</v>
      </c>
      <c r="C8">
        <v>6</v>
      </c>
    </row>
    <row r="9" spans="1:4" x14ac:dyDescent="0.2">
      <c r="A9">
        <v>8</v>
      </c>
      <c r="B9" s="3" t="s">
        <v>21</v>
      </c>
      <c r="C9">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D2EE-AD19-774C-94C2-500A24C5FD6E}">
  <dimension ref="A1:D9"/>
  <sheetViews>
    <sheetView zoomScale="200" zoomScaleNormal="200" workbookViewId="0">
      <selection activeCell="C10" sqref="C10"/>
    </sheetView>
  </sheetViews>
  <sheetFormatPr baseColWidth="10" defaultRowHeight="16" x14ac:dyDescent="0.2"/>
  <sheetData>
    <row r="1" spans="1:4" x14ac:dyDescent="0.2">
      <c r="A1" s="2" t="s">
        <v>19</v>
      </c>
      <c r="B1" t="s">
        <v>25</v>
      </c>
      <c r="C1" t="s">
        <v>26</v>
      </c>
      <c r="D1" t="s">
        <v>27</v>
      </c>
    </row>
    <row r="2" spans="1:4" x14ac:dyDescent="0.2">
      <c r="A2" t="s">
        <v>21</v>
      </c>
      <c r="B2" t="s">
        <v>77</v>
      </c>
      <c r="C2" t="s">
        <v>75</v>
      </c>
      <c r="D2">
        <v>1000</v>
      </c>
    </row>
    <row r="3" spans="1:4" x14ac:dyDescent="0.2">
      <c r="A3" t="s">
        <v>22</v>
      </c>
      <c r="B3" t="s">
        <v>78</v>
      </c>
      <c r="C3" t="s">
        <v>75</v>
      </c>
      <c r="D3">
        <v>200</v>
      </c>
    </row>
    <row r="4" spans="1:4" x14ac:dyDescent="0.2">
      <c r="A4" s="3" t="s">
        <v>23</v>
      </c>
      <c r="B4" t="s">
        <v>79</v>
      </c>
      <c r="C4" t="s">
        <v>76</v>
      </c>
      <c r="D4">
        <v>3000</v>
      </c>
    </row>
    <row r="5" spans="1:4" x14ac:dyDescent="0.2">
      <c r="A5" s="3" t="s">
        <v>21</v>
      </c>
      <c r="B5" t="s">
        <v>80</v>
      </c>
      <c r="C5" t="s">
        <v>76</v>
      </c>
      <c r="D5">
        <v>2300</v>
      </c>
    </row>
    <row r="6" spans="1:4" x14ac:dyDescent="0.2">
      <c r="A6" s="3" t="s">
        <v>24</v>
      </c>
      <c r="B6" t="s">
        <v>81</v>
      </c>
      <c r="C6" t="s">
        <v>75</v>
      </c>
      <c r="D6">
        <v>1000</v>
      </c>
    </row>
    <row r="7" spans="1:4" x14ac:dyDescent="0.2">
      <c r="A7" s="3" t="s">
        <v>22</v>
      </c>
      <c r="B7" t="s">
        <v>82</v>
      </c>
      <c r="C7" t="s">
        <v>76</v>
      </c>
      <c r="D7">
        <v>900</v>
      </c>
    </row>
    <row r="8" spans="1:4" x14ac:dyDescent="0.2">
      <c r="A8" s="3" t="s">
        <v>23</v>
      </c>
      <c r="B8" t="s">
        <v>83</v>
      </c>
      <c r="C8" t="s">
        <v>76</v>
      </c>
      <c r="D8">
        <v>50</v>
      </c>
    </row>
    <row r="9" spans="1:4" x14ac:dyDescent="0.2">
      <c r="A9" s="3" t="s">
        <v>21</v>
      </c>
      <c r="B9" t="s">
        <v>84</v>
      </c>
      <c r="C9" t="s">
        <v>75</v>
      </c>
      <c r="D9">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Cleaning (removed dbl)</vt:lpstr>
      <vt:lpstr>Cleaning</vt:lpstr>
      <vt:lpstr>PivotDemo</vt:lpstr>
      <vt:lpstr>Bonus (2)</vt:lpstr>
      <vt:lpstr>Bonus</vt:lpstr>
      <vt:lpstr>CF_demo</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Altynai Ismailova</dc:creator>
  <cp:lastModifiedBy>Altynai Ismailova</cp:lastModifiedBy>
  <dcterms:created xsi:type="dcterms:W3CDTF">2026-09-29T05:39:11Z</dcterms:created>
  <dcterms:modified xsi:type="dcterms:W3CDTF">2026-09-30T11:55:12Z</dcterms:modified>
</cp:coreProperties>
</file>